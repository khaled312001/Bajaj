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https://d.docs.live.net/8d7c581dce6ca87f/المستندات/"/>
    </mc:Choice>
  </mc:AlternateContent>
  <xr:revisionPtr revIDLastSave="292" documentId="8_{0016BF69-B55C-4F27-8DF4-4894A6AF2399}" xr6:coauthVersionLast="47" xr6:coauthVersionMax="47" xr10:uidLastSave="{98B0FA76-AD94-42CB-BDDC-C3311331CB04}"/>
  <bookViews>
    <workbookView xWindow="-120" yWindow="-120" windowWidth="24240" windowHeight="13020" tabRatio="759" xr2:uid="{00000000-000D-0000-FFFF-FFFF00000000}"/>
  </bookViews>
  <sheets>
    <sheet name="المبيعات" sheetId="3" r:id="rId1"/>
    <sheet name="المخزن" sheetId="13" r:id="rId2"/>
    <sheet name="اقرار تنازل" sheetId="11" r:id="rId3"/>
    <sheet name="اقرار استلام" sheetId="5" r:id="rId4"/>
    <sheet name="استلام كمية" sheetId="14" r:id="rId5"/>
    <sheet name="اقرار سمسار" sheetId="9" r:id="rId6"/>
    <sheet name="عقد بيع" sheetId="10" r:id="rId7"/>
    <sheet name="Sheet1" sheetId="12" r:id="rId8"/>
    <sheet name="ايصال سداد" sheetId="15" r:id="rId9"/>
  </sheets>
  <functionGroups builtInGroupCount="19"/>
  <definedNames>
    <definedName name="_xlnm.Print_Area" localSheetId="3">'اقرار استلام'!$A$2:$I$38</definedName>
    <definedName name="_xlnm.Print_Area" localSheetId="2">'اقرار تنازل'!$A$2:$I$41</definedName>
    <definedName name="_xlnm.Print_Area" localSheetId="6">'عقد بيع'!$A$2:$I$37</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Z7" i="3" l="1"/>
  <c r="Z8" i="3"/>
  <c r="A4" i="3"/>
  <c r="Y8" i="3"/>
  <c r="Y7" i="3"/>
  <c r="Y6" i="3"/>
  <c r="Z6" i="3"/>
  <c r="Y5" i="3"/>
  <c r="Z5" i="3"/>
  <c r="Z3" i="3"/>
  <c r="Z4" i="3"/>
  <c r="H34" i="5"/>
  <c r="A2" i="3"/>
  <c r="Z2" i="3"/>
  <c r="D20" i="11" l="1"/>
  <c r="C14" i="11"/>
  <c r="C12" i="11"/>
  <c r="C10" i="11"/>
  <c r="H26" i="14"/>
  <c r="D18" i="14"/>
  <c r="D22" i="9"/>
  <c r="C13" i="5"/>
  <c r="H31" i="10"/>
  <c r="G21" i="9"/>
  <c r="H37" i="9"/>
  <c r="H20" i="9"/>
  <c r="C11" i="5"/>
  <c r="H20" i="5"/>
  <c r="C21" i="9"/>
  <c r="D23" i="9"/>
  <c r="F20" i="5"/>
  <c r="F20" i="9"/>
  <c r="C15" i="5"/>
  <c r="C21" i="10"/>
  <c r="G22" i="5"/>
  <c r="C16" i="10"/>
  <c r="C24" i="5"/>
  <c r="C17" i="10"/>
  <c r="D28" i="9"/>
  <c r="C22" i="10"/>
  <c r="G24" i="5"/>
  <c r="C20" i="5"/>
  <c r="C24" i="9"/>
  <c r="C25" i="9"/>
  <c r="D23" i="10"/>
  <c r="C22" i="5"/>
  <c r="G22" i="10"/>
  <c r="H36" i="5"/>
  <c r="E21" i="10"/>
  <c r="C20" i="9"/>
  <c r="G21" i="10"/>
  <c r="H33" i="10"/>
  <c r="G13" i="5"/>
  <c r="C18" i="10"/>
</calcChain>
</file>

<file path=xl/sharedStrings.xml><?xml version="1.0" encoding="utf-8"?>
<sst xmlns="http://schemas.openxmlformats.org/spreadsheetml/2006/main" count="376" uniqueCount="209">
  <si>
    <t>م</t>
  </si>
  <si>
    <t>اسم العميل</t>
  </si>
  <si>
    <t>كود</t>
  </si>
  <si>
    <t>تاريخ الشراء</t>
  </si>
  <si>
    <t>sales order</t>
  </si>
  <si>
    <t>شاسيــه</t>
  </si>
  <si>
    <t>مـــــوتـــور</t>
  </si>
  <si>
    <t>النوع</t>
  </si>
  <si>
    <t>invoice num</t>
  </si>
  <si>
    <t>رقم الهاتف</t>
  </si>
  <si>
    <t xml:space="preserve">رقم البطاقة </t>
  </si>
  <si>
    <t>وصول 
مبايعات</t>
  </si>
  <si>
    <t>استلام 
المبيعات</t>
  </si>
  <si>
    <t>الأيام منذ
الشراء</t>
  </si>
  <si>
    <t xml:space="preserve">المحافظة </t>
  </si>
  <si>
    <t>المركز</t>
  </si>
  <si>
    <t xml:space="preserve">العنوان </t>
  </si>
  <si>
    <t>رقم المبايعة</t>
  </si>
  <si>
    <t>ايصال خزينة</t>
  </si>
  <si>
    <t xml:space="preserve">إقرار استلام </t>
  </si>
  <si>
    <t>اقر انا /</t>
  </si>
  <si>
    <t>رقم قومي /</t>
  </si>
  <si>
    <t>المقيم /</t>
  </si>
  <si>
    <t>شاسيه /</t>
  </si>
  <si>
    <t>موتور /</t>
  </si>
  <si>
    <t>وهذا إقرار منى بذلك</t>
  </si>
  <si>
    <t xml:space="preserve">تم التسيلم بمعرفة : </t>
  </si>
  <si>
    <t xml:space="preserve">أنور ربيع سعيد </t>
  </si>
  <si>
    <t>المستلم  :</t>
  </si>
  <si>
    <t>التوقيع :</t>
  </si>
  <si>
    <t>التوقيع  :</t>
  </si>
  <si>
    <t>التاريخ  :</t>
  </si>
  <si>
    <t>الموبايل :</t>
  </si>
  <si>
    <t>كود /</t>
  </si>
  <si>
    <t>تاريخ الشراء /</t>
  </si>
  <si>
    <t>مبايعة رقم/</t>
  </si>
  <si>
    <t>ويعد توقيعي على هذا الإقرار بمثابة مخالصة نهائية عن استلام الأوراق  ولا يحق لي لاحقا مطالبة الشركة به .</t>
  </si>
  <si>
    <t>الاسم :</t>
  </si>
  <si>
    <t>سنه الصنع</t>
  </si>
  <si>
    <t>واتساب</t>
  </si>
  <si>
    <t>اللون</t>
  </si>
  <si>
    <t>النوع /</t>
  </si>
  <si>
    <t>الموديل/</t>
  </si>
  <si>
    <t>S/N :</t>
  </si>
  <si>
    <t>تاريخ استلام المبايعة</t>
  </si>
  <si>
    <t>Price</t>
  </si>
  <si>
    <t>وذلك لتوصيلها للسيد /</t>
  </si>
  <si>
    <t xml:space="preserve">وذلك علي سبيل الامانه , وفي حالة عدم تسليمه اكون خائناً للأمانة واتحمل كافة المسئوليات القانونية </t>
  </si>
  <si>
    <t>ولا يحق لي او للسيد /</t>
  </si>
  <si>
    <t>واتحمل كافة التبعات القانونية والمالية في حالة رجوع الغير علي الشركة فيما يخص المركبة موضوع هذا الاقرار</t>
  </si>
  <si>
    <t>البصمة</t>
  </si>
  <si>
    <t>Boxer BM</t>
  </si>
  <si>
    <t>Black*red</t>
  </si>
  <si>
    <t>الاقصر</t>
  </si>
  <si>
    <t>اسنا</t>
  </si>
  <si>
    <t>اقر بان المبلغ</t>
  </si>
  <si>
    <t>التالي بيانتها :-</t>
  </si>
  <si>
    <t>هو خاص بشراء :</t>
  </si>
  <si>
    <t xml:space="preserve">باسم : </t>
  </si>
  <si>
    <t xml:space="preserve">وباني تحمل كافة التبعات القانونية والمالية في حالة رجوعي او رجوع الغير علي الشركة فيما يخص هذا المبلغ موضوع هذا الاقرار </t>
  </si>
  <si>
    <t xml:space="preserve">اللون : </t>
  </si>
  <si>
    <t>اللون /</t>
  </si>
  <si>
    <t xml:space="preserve">اللون / </t>
  </si>
  <si>
    <t>جسر السياله - مركز اسنا - الاقصر</t>
  </si>
  <si>
    <t>01111668929</t>
  </si>
  <si>
    <t>+201111668929</t>
  </si>
  <si>
    <t>تم ارسالة رسالة للعميل</t>
  </si>
  <si>
    <t>بطاقة رقم /</t>
  </si>
  <si>
    <t>مقيم في /</t>
  </si>
  <si>
    <t>بانني  قمت باستلام مبلغ  /</t>
  </si>
  <si>
    <t>فقط</t>
  </si>
  <si>
    <t>عشرة الاف جنيه مصري</t>
  </si>
  <si>
    <t>وهو عبارة عن قيمة كامل المبلغ سعر الكاش باك نظير ترخيص السيارة الكيوت</t>
  </si>
  <si>
    <t xml:space="preserve">بموجب هذا الاقرار لا يحق لي الرجوع علي الشركة بشأن هذا المبلغ الذي قمت باستلامه حالا او مستقبلا باي مطالبات او دعاوى او تعويضات او شكاوى من اي نوع وباي شكل </t>
  </si>
  <si>
    <t>وهذا اقرار مني بذلك</t>
  </si>
  <si>
    <t xml:space="preserve">المقر بما فيه </t>
  </si>
  <si>
    <t>الاسم /</t>
  </si>
  <si>
    <t>التوقيع /</t>
  </si>
  <si>
    <t xml:space="preserve">/      / </t>
  </si>
  <si>
    <t>الوظيفة /</t>
  </si>
  <si>
    <t>الكود الوظيفي /</t>
  </si>
  <si>
    <t>بعد التاكد من شخصية الموقع .</t>
  </si>
  <si>
    <t>انه تم توقيع هذا الاقرار امامي وفي حضوري</t>
  </si>
  <si>
    <t>التاريخ :</t>
  </si>
  <si>
    <r>
      <t xml:space="preserve"> إقرار استلام</t>
    </r>
    <r>
      <rPr>
        <b/>
        <vertAlign val="superscript"/>
        <sz val="18"/>
        <color rgb="FF000000"/>
        <rFont val="Calibri"/>
        <family val="2"/>
        <scheme val="minor"/>
      </rPr>
      <t xml:space="preserve"> </t>
    </r>
    <r>
      <rPr>
        <b/>
        <sz val="18"/>
        <color rgb="FF000000"/>
        <rFont val="Calibri"/>
        <family val="2"/>
        <scheme val="minor"/>
      </rPr>
      <t xml:space="preserve"> مبلغ نقدي</t>
    </r>
  </si>
  <si>
    <t>PO</t>
  </si>
  <si>
    <t>محمود محمد احمد هريدي</t>
  </si>
  <si>
    <t>الحصايا شرق المحطة - ارض روضاوي - ثان اسوان - اسوان</t>
  </si>
  <si>
    <t>CAAA21BZOTC239272</t>
  </si>
  <si>
    <t>PFXWSG81582</t>
  </si>
  <si>
    <t>فتح ملف العميل</t>
  </si>
  <si>
    <t>Column1</t>
  </si>
  <si>
    <t>شاسيه</t>
  </si>
  <si>
    <t>ماتور</t>
  </si>
  <si>
    <t>تاريخ وصول</t>
  </si>
  <si>
    <t>كود العميل</t>
  </si>
  <si>
    <t>CAAA21BZ0TC239272</t>
  </si>
  <si>
    <t>احمد خالد عبدالحليم سلامه</t>
  </si>
  <si>
    <t>قنا</t>
  </si>
  <si>
    <t>نجع البارود - مركز فقط - قنا</t>
  </si>
  <si>
    <t>01067820109</t>
  </si>
  <si>
    <t>+201067820109</t>
  </si>
  <si>
    <t>Discover 125</t>
  </si>
  <si>
    <t>MD2B44BX9TWH60540</t>
  </si>
  <si>
    <t>JZXWSH97322</t>
  </si>
  <si>
    <t>اسلام محمود عبدالرحمن يوسف</t>
  </si>
  <si>
    <t>القلعة - مركز فقط - قنا</t>
  </si>
  <si>
    <t>01271005052</t>
  </si>
  <si>
    <t>+201271005052</t>
  </si>
  <si>
    <t>Black*Blue</t>
  </si>
  <si>
    <t>MD2B44BX4TWH60476</t>
  </si>
  <si>
    <t>JZXWSH24184</t>
  </si>
  <si>
    <t>1</t>
  </si>
  <si>
    <t xml:space="preserve">بأنني استلمت من شركة جنوب الصعيد لوسائل النقل الخفيف
المركبة التالي بياناتها    </t>
  </si>
  <si>
    <t>وانى استلمت جميع الملحقات الخاصة به ولا يحق لي او للغير الرجوع علي الشركة .</t>
  </si>
  <si>
    <t xml:space="preserve">بأنني استلمت من شركة جنوب الصعيد لبيع وسائل النقل الخفيف جميع الأوراق الخاصة بالمركبة التالي بياناتها    </t>
  </si>
  <si>
    <t xml:space="preserve">بأنني استلمت من شركة جنوب الصعيد لبيع وسائل النقل الخفيف 
المركبة التالي بياناتها    </t>
  </si>
  <si>
    <t xml:space="preserve">الذي تم تحويله او ايداعهم بحساب شركة جنوب الصعيد لوسائل النقل الخفيف بنك الاسكندرية </t>
  </si>
  <si>
    <t xml:space="preserve">وذلك بدون ادني مسئولية علي الشركة </t>
  </si>
  <si>
    <t xml:space="preserve">احمد ربيع سعيد </t>
  </si>
  <si>
    <t>كرم مكاري انيس عوض</t>
  </si>
  <si>
    <t>اسوان</t>
  </si>
  <si>
    <t>ادفو</t>
  </si>
  <si>
    <t>الصعايدة قبلي - مركز ادفو - اسوان</t>
  </si>
  <si>
    <t>01285772129</t>
  </si>
  <si>
    <t>+201285772129</t>
  </si>
  <si>
    <t>+201108705313</t>
  </si>
  <si>
    <t>01108705313</t>
  </si>
  <si>
    <t>كلح الجبل غرب - مركز ادفو - اسوان</t>
  </si>
  <si>
    <t>ميلاد رؤوف عطاالله عبدالسيد</t>
  </si>
  <si>
    <t>CAAA21BZ4TC241428</t>
  </si>
  <si>
    <t>PFXWSJ81067</t>
  </si>
  <si>
    <t>CAAA21BZ8TC241416</t>
  </si>
  <si>
    <t>PFXWSJ81077</t>
  </si>
  <si>
    <t xml:space="preserve">او للغير الرجوع علي الشركة </t>
  </si>
  <si>
    <t>احمد محمد سعيد محمود</t>
  </si>
  <si>
    <t>قوص</t>
  </si>
  <si>
    <t>جراجوس - مركز قوص - قنا</t>
  </si>
  <si>
    <t>01029772317</t>
  </si>
  <si>
    <t>+201029772317</t>
  </si>
  <si>
    <t>Black*grey</t>
  </si>
  <si>
    <t xml:space="preserve"> CAAA21BZ2TC238897</t>
  </si>
  <si>
    <t>PFXWSG81186</t>
  </si>
  <si>
    <t>بولا فوكيه مرزوق داود</t>
  </si>
  <si>
    <t>الأقصر</t>
  </si>
  <si>
    <t>نجع الصياغ - الأقصر - الأقصر</t>
  </si>
  <si>
    <t>+201200091211</t>
  </si>
  <si>
    <t>01200091211</t>
  </si>
  <si>
    <t xml:space="preserve"> CAAA21BZ3TC241419</t>
  </si>
  <si>
    <t>PFXWSJ81082</t>
  </si>
  <si>
    <t>CAAA21BZ3TC241470</t>
  </si>
  <si>
    <t>PFXWSJ81073</t>
  </si>
  <si>
    <t xml:space="preserve"> CAAA21BZ6TC241480</t>
  </si>
  <si>
    <t>PFXWSJ81187</t>
  </si>
  <si>
    <t xml:space="preserve"> CAAA21BZ8TC241464</t>
  </si>
  <si>
    <t>PFXWSJ81070</t>
  </si>
  <si>
    <t>CAAHCMC09SC020144</t>
  </si>
  <si>
    <t>CAAHCMC0XSC020119</t>
  </si>
  <si>
    <t>*163FML*R1184305**</t>
  </si>
  <si>
    <t>*163FML*R1184330**</t>
  </si>
  <si>
    <t>MD2A68CX0TWK01029</t>
  </si>
  <si>
    <t>BFXWSJ18942</t>
  </si>
  <si>
    <t>MD2A68CX0TWJ00539</t>
  </si>
  <si>
    <t>BFXWSJ18854</t>
  </si>
  <si>
    <t>White</t>
  </si>
  <si>
    <t>MD2A68CX7TWJ00523</t>
  </si>
  <si>
    <t>BFXWSJ18951</t>
  </si>
  <si>
    <t>نقدي</t>
  </si>
  <si>
    <t xml:space="preserve"> </t>
  </si>
  <si>
    <t>تفاصيل</t>
  </si>
  <si>
    <t>عبدالرحمن محمد بكري احمد عبدالقادر</t>
  </si>
  <si>
    <t>انور ابراهيم محمد ابراهيم</t>
  </si>
  <si>
    <t xml:space="preserve">حجازه بحري - نجع العقولا  - مركز قوص -قنا </t>
  </si>
  <si>
    <t>01025226383</t>
  </si>
  <si>
    <t>Boxer BM 150</t>
  </si>
  <si>
    <t>سكوتر ليفان سبايدر</t>
  </si>
  <si>
    <t>برتقالي</t>
  </si>
  <si>
    <t>000408</t>
  </si>
  <si>
    <t>04958</t>
  </si>
  <si>
    <t>سكوتر ليفان روما</t>
  </si>
  <si>
    <t>Gray</t>
  </si>
  <si>
    <t>000095</t>
  </si>
  <si>
    <t>04363</t>
  </si>
  <si>
    <t>علي محمد علي مصطفي</t>
  </si>
  <si>
    <t>البحر الاحمر - القصير</t>
  </si>
  <si>
    <t xml:space="preserve">انور ربيع سعيد </t>
  </si>
  <si>
    <t xml:space="preserve">إقرار تنازل </t>
  </si>
  <si>
    <t>خمسة وسبعون الف جنيه فقط لا غير</t>
  </si>
  <si>
    <t>ابراهيم وصفي حسين سالم</t>
  </si>
  <si>
    <t>من مخزن</t>
  </si>
  <si>
    <t>الي مخزن الشركة</t>
  </si>
  <si>
    <t>طوبيا اكسبريس</t>
  </si>
  <si>
    <t>جي بي اوتو</t>
  </si>
  <si>
    <t>اسم المشتري</t>
  </si>
  <si>
    <t>تاريخ الصرف او البيع</t>
  </si>
  <si>
    <t>نقدي - تقسيط</t>
  </si>
  <si>
    <t>جنوب الصعيد - قفط</t>
  </si>
  <si>
    <t>جنوب الصعيد - قوص</t>
  </si>
  <si>
    <t>الشيمي موتورز</t>
  </si>
  <si>
    <t>سعر المنتج</t>
  </si>
  <si>
    <t>مصاريف نقل</t>
  </si>
  <si>
    <t>اجمالي</t>
  </si>
  <si>
    <t>نسريات</t>
  </si>
  <si>
    <t>سعر البيع</t>
  </si>
  <si>
    <t>المتبقي في حالة الدفعات</t>
  </si>
  <si>
    <t>البيع (نقدي- تقسيط)</t>
  </si>
  <si>
    <t>ريفي فرع قفط</t>
  </si>
  <si>
    <t xml:space="preserve">تقسيط </t>
  </si>
  <si>
    <t>جهة التقسيط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</si>
</sst>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2010000]yyyy/mm/dd;@"/>
    <numFmt numFmtId="166" formatCode="[$-409]mmmm\ d\,\ yyyy;@"/>
    <numFmt numFmtId="167" formatCode="[$-409]d\-mmm\-yyyy;@"/>
    <numFmt numFmtId="168" formatCode="#,##0.00\ [$ج.م.‏-C01]"/>
    <numFmt numFmtId="169" formatCode="[$-10B0000]d\ mmmm\ yyyy;@"/>
  </numFmts>
  <fonts count="10" x14ac:knownFonts="1">
    <font>
      <sz val="11"/>
      <color theme="1"/>
      <name val="Calibri"/>
      <family val="2"/>
      <scheme val="minor"/>
    </font>
    <font>
      <u/>
      <sz val="11"/>
      <color theme="10"/>
      <name val="Calibri"/>
      <family val="2"/>
      <scheme val="minor"/>
    </font>
    <font>
      <b/>
      <sz val="14"/>
      <color theme="1"/>
      <name val="Calibri"/>
      <family val="2"/>
      <scheme val="minor"/>
    </font>
    <font>
      <sz val="8"/>
      <name val="Calibri"/>
      <family val="2"/>
      <scheme val="minor"/>
    </font>
    <font>
      <b/>
      <sz val="18"/>
      <color rgb="FF000000"/>
      <name val="Calibri"/>
      <family val="2"/>
      <scheme val="minor"/>
    </font>
    <font>
      <b/>
      <vertAlign val="superscript"/>
      <sz val="18"/>
      <color rgb="FF000000"/>
      <name val="Calibri"/>
      <family val="2"/>
      <scheme val="minor"/>
    </font>
    <font>
      <b/>
      <sz val="18"/>
      <color theme="1"/>
      <name val="Calibri"/>
      <family val="2"/>
      <scheme val="minor"/>
    </font>
    <font>
      <b/>
      <sz val="16"/>
      <color theme="1"/>
      <name val="Calibri"/>
      <family val="2"/>
      <scheme val="minor"/>
    </font>
    <font>
      <sz val="11"/>
      <color rgb="FF000000"/>
      <name val="Calibri"/>
      <family val="2"/>
    </font>
    <font>
      <sz val="11"/>
      <color rgb="FF000000"/>
      <name val="Arial"/>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72">
    <xf numFmtId="0" fontId="0" fillId="0" borderId="0" xfId="0"/>
    <xf numFmtId="0" fontId="0" fillId="0" borderId="0" xfId="0" applyAlignment="1">
      <alignment horizontal="center" vertical="center"/>
    </xf>
    <xf numFmtId="1" fontId="0" fillId="0" borderId="0" xfId="0" applyNumberFormat="1" applyAlignment="1">
      <alignment horizontal="center" vertical="center"/>
    </xf>
    <xf numFmtId="164" fontId="0" fillId="0" borderId="0" xfId="0" applyNumberForma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center" vertical="center" wrapText="1"/>
    </xf>
    <xf numFmtId="0" fontId="2" fillId="0" borderId="0" xfId="0" applyFont="1" applyAlignment="1" applyProtection="1">
      <alignment vertical="center"/>
      <protection hidden="1"/>
    </xf>
    <xf numFmtId="0" fontId="2" fillId="0" borderId="0" xfId="0" applyFont="1" applyAlignment="1" applyProtection="1">
      <alignment horizontal="center" vertical="center"/>
      <protection hidden="1"/>
    </xf>
    <xf numFmtId="0" fontId="2" fillId="0" borderId="0" xfId="0" applyFont="1" applyAlignment="1" applyProtection="1">
      <alignment horizontal="right" vertical="center"/>
      <protection hidden="1"/>
    </xf>
    <xf numFmtId="1" fontId="2" fillId="0" borderId="0" xfId="0" applyNumberFormat="1" applyFont="1" applyAlignment="1" applyProtection="1">
      <alignment horizontal="right" vertical="center"/>
      <protection hidden="1"/>
    </xf>
    <xf numFmtId="1" fontId="2" fillId="0" borderId="0" xfId="0" applyNumberFormat="1" applyFont="1" applyAlignment="1" applyProtection="1">
      <alignment horizontal="left" vertical="center"/>
      <protection hidden="1"/>
    </xf>
    <xf numFmtId="1" fontId="2" fillId="0" borderId="0" xfId="0" applyNumberFormat="1" applyFont="1" applyAlignment="1" applyProtection="1">
      <alignment vertical="center"/>
      <protection hidden="1"/>
    </xf>
    <xf numFmtId="0" fontId="2" fillId="0" borderId="0" xfId="0" applyFont="1" applyAlignment="1" applyProtection="1">
      <alignment horizontal="center" vertical="center" wrapText="1"/>
      <protection hidden="1"/>
    </xf>
    <xf numFmtId="0" fontId="2" fillId="0" borderId="0" xfId="0" applyFont="1" applyAlignment="1" applyProtection="1">
      <alignment vertical="center" wrapText="1"/>
      <protection hidden="1"/>
    </xf>
    <xf numFmtId="0" fontId="2" fillId="0" borderId="0" xfId="0" applyFont="1" applyAlignment="1" applyProtection="1">
      <alignment horizontal="left" vertical="center"/>
      <protection hidden="1"/>
    </xf>
    <xf numFmtId="1" fontId="0" fillId="0" borderId="0" xfId="0" applyNumberFormat="1" applyAlignment="1">
      <alignment horizontal="center" vertical="center" wrapText="1"/>
    </xf>
    <xf numFmtId="0" fontId="2" fillId="0" borderId="0" xfId="0" applyFont="1" applyAlignment="1" applyProtection="1">
      <alignment horizontal="left" vertical="center" wrapText="1"/>
      <protection hidden="1"/>
    </xf>
    <xf numFmtId="166" fontId="0" fillId="0" borderId="0" xfId="0" applyNumberFormat="1" applyAlignment="1">
      <alignment horizontal="center" vertical="center"/>
    </xf>
    <xf numFmtId="166" fontId="2" fillId="0" borderId="0" xfId="0" applyNumberFormat="1" applyFont="1" applyAlignment="1" applyProtection="1">
      <alignment vertical="center"/>
      <protection hidden="1"/>
    </xf>
    <xf numFmtId="166" fontId="2" fillId="0" borderId="0" xfId="0" applyNumberFormat="1" applyFont="1" applyAlignment="1" applyProtection="1">
      <alignment horizontal="center" vertical="center" wrapText="1"/>
      <protection hidden="1"/>
    </xf>
    <xf numFmtId="166" fontId="2" fillId="0" borderId="0" xfId="0" applyNumberFormat="1" applyFont="1" applyAlignment="1" applyProtection="1">
      <alignment horizontal="left" vertical="center"/>
      <protection hidden="1"/>
    </xf>
    <xf numFmtId="167" fontId="2" fillId="0" borderId="0" xfId="0" applyNumberFormat="1" applyFont="1" applyAlignment="1" applyProtection="1">
      <alignment vertical="center"/>
      <protection hidden="1"/>
    </xf>
    <xf numFmtId="1" fontId="2" fillId="0" borderId="0" xfId="0" applyNumberFormat="1" applyFont="1" applyAlignment="1" applyProtection="1">
      <alignment horizontal="left" vertical="center"/>
      <protection locked="0"/>
    </xf>
    <xf numFmtId="166" fontId="0" fillId="0" borderId="0" xfId="0" applyNumberFormat="1"/>
    <xf numFmtId="168" fontId="0" fillId="0" borderId="0" xfId="0" applyNumberFormat="1" applyAlignment="1">
      <alignment horizontal="center" vertical="center"/>
    </xf>
    <xf numFmtId="168" fontId="0" fillId="0" borderId="0" xfId="0" applyNumberFormat="1" applyAlignment="1">
      <alignment horizontal="center" vertical="center" wrapText="1"/>
    </xf>
    <xf numFmtId="49" fontId="2" fillId="0" borderId="0" xfId="0" applyNumberFormat="1" applyFont="1" applyAlignment="1" applyProtection="1">
      <alignment horizontal="right" vertical="center"/>
      <protection hidden="1"/>
    </xf>
    <xf numFmtId="49" fontId="2" fillId="0" borderId="0" xfId="0" applyNumberFormat="1" applyFont="1" applyAlignment="1" applyProtection="1">
      <alignment vertical="center"/>
      <protection hidden="1"/>
    </xf>
    <xf numFmtId="49" fontId="2" fillId="0" borderId="0" xfId="0" applyNumberFormat="1" applyFont="1" applyAlignment="1" applyProtection="1">
      <alignment horizontal="center" vertical="center"/>
      <protection hidden="1"/>
    </xf>
    <xf numFmtId="165" fontId="2" fillId="0" borderId="0" xfId="0" applyNumberFormat="1" applyFont="1" applyAlignment="1" applyProtection="1">
      <alignment horizontal="right" vertical="center"/>
      <protection hidden="1"/>
    </xf>
    <xf numFmtId="0" fontId="2" fillId="0" borderId="0" xfId="0" applyFont="1" applyAlignment="1" applyProtection="1">
      <alignment horizontal="right" vertical="center" wrapText="1"/>
      <protection hidden="1"/>
    </xf>
    <xf numFmtId="168" fontId="2" fillId="0" borderId="0" xfId="0" applyNumberFormat="1" applyFont="1" applyAlignment="1" applyProtection="1">
      <alignment horizontal="center" vertical="center" wrapText="1"/>
      <protection hidden="1"/>
    </xf>
    <xf numFmtId="1" fontId="2" fillId="0" borderId="0" xfId="0" applyNumberFormat="1" applyFont="1" applyAlignment="1">
      <alignment horizontal="left" vertical="center"/>
    </xf>
    <xf numFmtId="0" fontId="2" fillId="0" borderId="0" xfId="0" applyFont="1" applyAlignment="1" applyProtection="1">
      <alignment horizontal="right" vertical="center" wrapText="1" indent="2"/>
      <protection hidden="1"/>
    </xf>
    <xf numFmtId="0" fontId="2" fillId="0" borderId="0" xfId="0" applyFont="1" applyAlignment="1" applyProtection="1">
      <alignment horizontal="right" vertical="center" wrapText="1" readingOrder="1"/>
      <protection hidden="1"/>
    </xf>
    <xf numFmtId="166" fontId="2" fillId="0" borderId="0" xfId="0" applyNumberFormat="1" applyFont="1" applyAlignment="1" applyProtection="1">
      <alignment horizontal="right" vertical="center" indent="1"/>
      <protection hidden="1"/>
    </xf>
    <xf numFmtId="0" fontId="4" fillId="0" borderId="0" xfId="0" applyFont="1" applyAlignment="1">
      <alignment horizontal="left"/>
    </xf>
    <xf numFmtId="0" fontId="4" fillId="0" borderId="0" xfId="0" applyFont="1" applyAlignment="1">
      <alignment horizontal="right"/>
    </xf>
    <xf numFmtId="0" fontId="4" fillId="0" borderId="0" xfId="0" applyFont="1"/>
    <xf numFmtId="1" fontId="4" fillId="0" borderId="0" xfId="0" applyNumberFormat="1" applyFont="1" applyAlignment="1">
      <alignment horizontal="right"/>
    </xf>
    <xf numFmtId="0" fontId="6" fillId="0" borderId="0" xfId="0" applyFont="1"/>
    <xf numFmtId="0" fontId="4" fillId="0" borderId="0" xfId="0" applyFont="1" applyAlignment="1">
      <alignment horizontal="center" vertical="center" readingOrder="2"/>
    </xf>
    <xf numFmtId="0" fontId="6" fillId="0" borderId="0" xfId="0" applyFont="1" applyAlignment="1">
      <alignment horizontal="right"/>
    </xf>
    <xf numFmtId="0" fontId="1" fillId="0" borderId="0" xfId="1" applyAlignment="1">
      <alignment horizontal="center" vertical="center"/>
    </xf>
    <xf numFmtId="0" fontId="7" fillId="0" borderId="1" xfId="0" applyFont="1" applyBorder="1" applyAlignment="1">
      <alignment horizontal="center" vertical="center"/>
    </xf>
    <xf numFmtId="49" fontId="7" fillId="0" borderId="1" xfId="0" applyNumberFormat="1" applyFont="1" applyBorder="1" applyAlignment="1">
      <alignment horizontal="center" vertical="center"/>
    </xf>
    <xf numFmtId="166" fontId="7" fillId="0" borderId="1" xfId="0" applyNumberFormat="1" applyFont="1" applyBorder="1" applyAlignment="1">
      <alignment horizontal="center" vertical="center"/>
    </xf>
    <xf numFmtId="0" fontId="7" fillId="0" borderId="0" xfId="0" applyFont="1" applyAlignment="1">
      <alignment horizontal="center" vertical="center"/>
    </xf>
    <xf numFmtId="166" fontId="7" fillId="0" borderId="0" xfId="0" applyNumberFormat="1" applyFont="1" applyAlignment="1">
      <alignment horizontal="center" vertical="center"/>
    </xf>
    <xf numFmtId="0" fontId="2" fillId="0" borderId="0" xfId="0" applyFont="1" applyAlignment="1" applyProtection="1">
      <alignment vertical="center"/>
      <protection locked="0" hidden="1"/>
    </xf>
    <xf numFmtId="0" fontId="2" fillId="0" borderId="0" xfId="0" applyFont="1" applyAlignment="1" applyProtection="1">
      <alignment horizontal="center" vertical="center"/>
      <protection hidden="1"/>
    </xf>
    <xf numFmtId="0" fontId="2" fillId="0" borderId="0" xfId="0" applyFont="1" applyAlignment="1" applyProtection="1">
      <alignment horizontal="right" vertical="center" wrapText="1"/>
      <protection locked="0"/>
    </xf>
    <xf numFmtId="0" fontId="2" fillId="0" borderId="0" xfId="0" applyFont="1" applyAlignment="1" applyProtection="1">
      <alignment horizontal="right" vertical="center"/>
      <protection locked="0"/>
    </xf>
    <xf numFmtId="0" fontId="2" fillId="0" borderId="0" xfId="0" applyFont="1" applyAlignment="1" applyProtection="1">
      <alignment horizontal="left" vertical="center" wrapText="1"/>
      <protection hidden="1"/>
    </xf>
    <xf numFmtId="0" fontId="2" fillId="0" borderId="0" xfId="0" applyFont="1" applyAlignment="1" applyProtection="1">
      <alignment horizontal="center" vertical="center" wrapText="1"/>
      <protection locked="0"/>
    </xf>
    <xf numFmtId="1" fontId="2" fillId="0" borderId="0" xfId="0" applyNumberFormat="1" applyFont="1" applyAlignment="1" applyProtection="1">
      <alignment horizontal="right" vertical="center"/>
      <protection locked="0"/>
    </xf>
    <xf numFmtId="0" fontId="2" fillId="0" borderId="0" xfId="0" applyFont="1" applyAlignment="1" applyProtection="1">
      <alignment horizontal="center" vertical="center" wrapText="1"/>
      <protection hidden="1"/>
    </xf>
    <xf numFmtId="168" fontId="2" fillId="0" borderId="0" xfId="0" applyNumberFormat="1" applyFont="1" applyAlignment="1" applyProtection="1">
      <alignment horizontal="center" vertical="center" wrapText="1"/>
      <protection locked="0"/>
    </xf>
    <xf numFmtId="0" fontId="2" fillId="0" borderId="0" xfId="0" applyFont="1" applyAlignment="1" applyProtection="1">
      <alignment horizontal="right" vertical="center"/>
      <protection hidden="1"/>
    </xf>
    <xf numFmtId="165" fontId="2" fillId="0" borderId="0" xfId="0" applyNumberFormat="1" applyFont="1" applyAlignment="1" applyProtection="1">
      <alignment horizontal="right" vertical="center"/>
      <protection hidden="1"/>
    </xf>
    <xf numFmtId="49" fontId="2" fillId="0" borderId="0" xfId="0" applyNumberFormat="1" applyFont="1" applyAlignment="1" applyProtection="1">
      <alignment horizontal="right" vertical="center"/>
      <protection hidden="1"/>
    </xf>
    <xf numFmtId="0" fontId="2" fillId="0" borderId="0" xfId="0" applyFont="1" applyAlignment="1" applyProtection="1">
      <alignment horizontal="left" vertical="center"/>
      <protection hidden="1"/>
    </xf>
    <xf numFmtId="167" fontId="2" fillId="0" borderId="0" xfId="0" applyNumberFormat="1" applyFont="1" applyAlignment="1" applyProtection="1">
      <alignment horizontal="right" vertical="center"/>
      <protection hidden="1"/>
    </xf>
    <xf numFmtId="0" fontId="2" fillId="0" borderId="0" xfId="0" applyFont="1" applyAlignment="1" applyProtection="1">
      <alignment horizontal="right" vertical="center" wrapText="1"/>
      <protection hidden="1"/>
    </xf>
    <xf numFmtId="1" fontId="2" fillId="0" borderId="0" xfId="0" applyNumberFormat="1" applyFont="1" applyAlignment="1" applyProtection="1">
      <alignment horizontal="right" vertical="center"/>
      <protection hidden="1"/>
    </xf>
    <xf numFmtId="169" fontId="2" fillId="0" borderId="0" xfId="0" applyNumberFormat="1" applyFont="1" applyAlignment="1" applyProtection="1">
      <alignment horizontal="right" vertical="center"/>
      <protection hidden="1"/>
    </xf>
    <xf numFmtId="0" fontId="2" fillId="0" borderId="0" xfId="0" applyFont="1" applyAlignment="1" applyProtection="1">
      <alignment horizontal="right" vertical="center" wrapText="1" readingOrder="2"/>
      <protection hidden="1"/>
    </xf>
    <xf numFmtId="0" fontId="4" fillId="0" borderId="0" xfId="0" applyFont="1" applyAlignment="1">
      <alignment horizontal="right"/>
    </xf>
    <xf numFmtId="0" fontId="4" fillId="0" borderId="0" xfId="0" applyFont="1" applyAlignment="1">
      <alignment horizontal="center"/>
    </xf>
    <xf numFmtId="0" fontId="4" fillId="0" borderId="0" xfId="0" applyFont="1" applyAlignment="1">
      <alignment horizontal="right" vertical="center" wrapText="1" indent="1"/>
    </xf>
    <xf numFmtId="1" fontId="4" fillId="0" borderId="0" xfId="0" applyNumberFormat="1" applyFont="1" applyAlignment="1">
      <alignment horizontal="right"/>
    </xf>
    <xf numFmtId="0" fontId="4" fillId="0" borderId="0" xfId="0" applyFont="1" applyAlignment="1">
      <alignment horizontal="left"/>
    </xf>
  </cellXfs>
  <cellStyles count="2">
    <cellStyle name="Hyperlink" xfId="1" builtinId="8"/>
    <cellStyle name="Normal" xfId="0" builtinId="0"/>
  </cellStyles>
  <dxfs count="32">
    <dxf>
      <numFmt numFmtId="1" formatCode="0"/>
      <alignment horizontal="center" vertical="center" textRotation="0" wrapText="0" indent="0" justifyLastLine="0" shrinkToFit="0" readingOrder="0"/>
    </dxf>
    <dxf>
      <font>
        <b val="0"/>
      </font>
      <alignment horizontal="center" vertical="center" textRotation="0" wrapText="0" indent="0" justifyLastLine="0" shrinkToFit="0" readingOrder="0"/>
    </dxf>
    <dxf>
      <font>
        <b val="0"/>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val="0"/>
      </font>
      <numFmt numFmtId="1" formatCode="0"/>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protection locked="1" hidden="0"/>
    </dxf>
    <dxf>
      <font>
        <b val="0"/>
      </font>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numFmt numFmtId="30" formatCode="@"/>
      <alignment horizontal="center" vertical="center" textRotation="0" wrapText="0" indent="0" justifyLastLine="0" shrinkToFit="0" readingOrder="0"/>
    </dxf>
    <dxf>
      <font>
        <b val="0"/>
      </font>
      <alignment horizontal="center" vertical="center" textRotation="0" wrapText="0" indent="0" justifyLastLine="0" shrinkToFit="0" readingOrder="0"/>
    </dxf>
    <dxf>
      <numFmt numFmtId="168" formatCode="#,##0.00\ [$ج.م.‏-C01]"/>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numFmt numFmtId="1" formatCode="0"/>
      <alignment horizontal="center"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numFmt numFmtId="166" formatCode="[$-409]mmmm\ d\,\ 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ont>
        <b val="0"/>
      </font>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0" formatCode="@"/>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ont>
        <b val="0"/>
      </font>
      <alignment horizontal="center" vertical="center" textRotation="0" wrapText="0" indent="0" justifyLastLine="0" shrinkToFit="0" readingOrder="0"/>
    </dxf>
    <dxf>
      <font>
        <b val="0"/>
      </font>
      <alignment horizontal="center" vertical="center" textRotation="0" wrapText="0" indent="0" justifyLastLine="0" shrinkToFit="0" readingOrder="0"/>
    </dxf>
    <dxf>
      <font>
        <b val="0"/>
      </font>
      <alignment horizontal="center" vertical="center" textRotation="0" wrapText="0" indent="0" justifyLastLine="0" shrinkToFit="0" readingOrder="0"/>
    </dxf>
    <dxf>
      <font>
        <b val="0"/>
      </font>
      <alignment horizontal="center" vertical="center" textRotation="0" wrapText="0" indent="0" justifyLastLine="0" shrinkToFit="0" readingOrder="0"/>
    </dxf>
    <dxf>
      <font>
        <b val="0"/>
      </font>
      <numFmt numFmtId="0" formatCode="General"/>
      <alignment horizontal="center" vertical="center" textRotation="0" wrapText="0" indent="0" justifyLastLine="0" shrinkToFit="0" readingOrder="0"/>
    </dxf>
    <dxf>
      <font>
        <b val="0"/>
      </font>
      <alignment horizontal="center" vertical="center" textRotation="0" wrapText="0" indent="0" justifyLastLine="0" shrinkToFit="0" readingOrder="0"/>
    </dxf>
    <dxf>
      <font>
        <b val="0"/>
      </font>
      <alignment horizontal="center" vertical="center" textRotation="0" wrapText="0" indent="0" justifyLastLine="0" shrinkToFit="0" readingOrder="0"/>
    </dxf>
  </dxfs>
  <tableStyles count="0" defaultTableStyle="TableStyleMedium2" defaultPivotStyle="PivotStyleLight16"/>
  <colors>
    <mruColors>
      <color rgb="FF31869B"/>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238125</xdr:colOff>
          <xdr:row>0</xdr:row>
          <xdr:rowOff>0</xdr:rowOff>
        </xdr:from>
        <xdr:to>
          <xdr:col>1</xdr:col>
          <xdr:colOff>828675</xdr:colOff>
          <xdr:row>0</xdr:row>
          <xdr:rowOff>381000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إضافة ملف</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161925</xdr:colOff>
          <xdr:row>0</xdr:row>
          <xdr:rowOff>66675</xdr:rowOff>
        </xdr:from>
        <xdr:to>
          <xdr:col>10</xdr:col>
          <xdr:colOff>447675</xdr:colOff>
          <xdr:row>5</xdr:row>
          <xdr:rowOff>28575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طباعة</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857250</xdr:colOff>
          <xdr:row>1</xdr:row>
          <xdr:rowOff>76200</xdr:rowOff>
        </xdr:from>
        <xdr:to>
          <xdr:col>8</xdr:col>
          <xdr:colOff>962025</xdr:colOff>
          <xdr:row>2</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GB" sz="1100" b="0" i="0" u="none" strike="noStrike" baseline="0">
                  <a:solidFill>
                    <a:srgbClr val="000000"/>
                  </a:solidFill>
                  <a:latin typeface="Arial"/>
                  <a:cs typeface="Arial"/>
                </a:rPr>
                <a:t>حفظ بي دي اف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676275</xdr:colOff>
          <xdr:row>2</xdr:row>
          <xdr:rowOff>19050</xdr:rowOff>
        </xdr:from>
        <xdr:to>
          <xdr:col>9</xdr:col>
          <xdr:colOff>1962150</xdr:colOff>
          <xdr:row>5</xdr:row>
          <xdr:rowOff>57150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GB" sz="1100" b="0" i="0" u="none" strike="noStrike" baseline="0">
                  <a:solidFill>
                    <a:srgbClr val="000000"/>
                  </a:solidFill>
                  <a:latin typeface="Arial"/>
                  <a:cs typeface="Arial"/>
                </a:rPr>
                <a:t>حفظ بي دي اف</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352425</xdr:colOff>
      <xdr:row>0</xdr:row>
      <xdr:rowOff>114300</xdr:rowOff>
    </xdr:from>
    <xdr:to>
      <xdr:col>6</xdr:col>
      <xdr:colOff>447675</xdr:colOff>
      <xdr:row>2</xdr:row>
      <xdr:rowOff>104775</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10037842151" y="114300"/>
          <a:ext cx="2381250" cy="619953"/>
          <a:chOff x="0" y="0"/>
          <a:chExt cx="2533650" cy="514350"/>
        </a:xfrm>
      </xdr:grpSpPr>
      <xdr:sp macro="" textlink="">
        <xdr:nvSpPr>
          <xdr:cNvPr id="3" name="Shape 433">
            <a:extLst>
              <a:ext uri="{FF2B5EF4-FFF2-40B4-BE49-F238E27FC236}">
                <a16:creationId xmlns:a16="http://schemas.microsoft.com/office/drawing/2014/main" id="{00000000-0008-0000-0700-000003000000}"/>
              </a:ext>
            </a:extLst>
          </xdr:cNvPr>
          <xdr:cNvSpPr/>
        </xdr:nvSpPr>
        <xdr:spPr>
          <a:xfrm>
            <a:off x="0" y="0"/>
            <a:ext cx="2533650" cy="514350"/>
          </a:xfrm>
          <a:custGeom>
            <a:avLst/>
            <a:gdLst/>
            <a:ahLst/>
            <a:cxnLst/>
            <a:rect l="0" t="0" r="0" b="0"/>
            <a:pathLst>
              <a:path w="2533650" h="514350">
                <a:moveTo>
                  <a:pt x="0" y="85725"/>
                </a:moveTo>
                <a:cubicBezTo>
                  <a:pt x="0" y="38354"/>
                  <a:pt x="38354" y="0"/>
                  <a:pt x="85725" y="0"/>
                </a:cubicBezTo>
                <a:lnTo>
                  <a:pt x="2447925" y="0"/>
                </a:lnTo>
                <a:cubicBezTo>
                  <a:pt x="2495296" y="0"/>
                  <a:pt x="2533650" y="38354"/>
                  <a:pt x="2533650" y="85725"/>
                </a:cubicBezTo>
                <a:lnTo>
                  <a:pt x="2533650" y="428625"/>
                </a:lnTo>
                <a:cubicBezTo>
                  <a:pt x="2533650" y="475996"/>
                  <a:pt x="2495296" y="514350"/>
                  <a:pt x="2447925" y="514350"/>
                </a:cubicBezTo>
                <a:lnTo>
                  <a:pt x="85725" y="514350"/>
                </a:lnTo>
                <a:cubicBezTo>
                  <a:pt x="38354" y="514350"/>
                  <a:pt x="0" y="475996"/>
                  <a:pt x="0" y="428625"/>
                </a:cubicBezTo>
                <a:close/>
              </a:path>
            </a:pathLst>
          </a:custGeom>
          <a:ln w="12700" cap="flat">
            <a:miter lim="127000"/>
          </a:ln>
        </xdr:spPr>
        <xdr:style>
          <a:lnRef idx="1">
            <a:srgbClr val="000000"/>
          </a:lnRef>
          <a:fillRef idx="0">
            <a:srgbClr val="000000">
              <a:alpha val="0"/>
            </a:srgbClr>
          </a:fillRef>
          <a:effectRef idx="0">
            <a:scrgbClr r="0" g="0" b="0"/>
          </a:effectRef>
          <a:fontRef idx="none"/>
        </xdr:style>
        <xdr:txBody>
          <a:bodyPr/>
          <a:lstStyle/>
          <a:p>
            <a:endParaRPr lang="en-US"/>
          </a:p>
        </xdr:txBody>
      </xdr:sp>
    </xdr:grp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8" totalsRowShown="0" headerRowDxfId="31" dataDxfId="30">
  <tableColumns count="30">
    <tableColumn id="1" xr3:uid="{00000000-0010-0000-0000-000001000000}" name="م" dataDxfId="29">
      <calculatedColumnFormula>ROW()-1</calculatedColumnFormula>
    </tableColumn>
    <tableColumn id="2" xr3:uid="{00000000-0010-0000-0000-000002000000}" name="اسم العميل" dataDxfId="28"/>
    <tableColumn id="3" xr3:uid="{00000000-0010-0000-0000-000003000000}" name="المحافظة " dataDxfId="27"/>
    <tableColumn id="4" xr3:uid="{00000000-0010-0000-0000-000004000000}" name="المركز" dataDxfId="26"/>
    <tableColumn id="5" xr3:uid="{00000000-0010-0000-0000-000005000000}" name="العنوان " dataDxfId="25"/>
    <tableColumn id="13" xr3:uid="{00000000-0010-0000-0000-00000D000000}" name="رقم الهاتف" dataDxfId="24"/>
    <tableColumn id="22" xr3:uid="{4D411B1A-5737-4B5C-B94E-D1DF7C7DF5A9}" name="واتساب" dataDxfId="23"/>
    <tableColumn id="14" xr3:uid="{00000000-0010-0000-0000-00000E000000}" name="رقم البطاقة " dataDxfId="22"/>
    <tableColumn id="26" xr3:uid="{8718D3B4-211F-49AE-A26D-F841092CA489}" name="PO" dataDxfId="21"/>
    <tableColumn id="6" xr3:uid="{00000000-0010-0000-0000-000006000000}" name="كود" dataDxfId="20"/>
    <tableColumn id="11" xr3:uid="{00000000-0010-0000-0000-00000B000000}" name="النوع" dataDxfId="19"/>
    <tableColumn id="9" xr3:uid="{00000000-0010-0000-0000-000009000000}" name="شاسيــه" dataDxfId="18"/>
    <tableColumn id="10" xr3:uid="{00000000-0010-0000-0000-00000A000000}" name="مـــــوتـــور" dataDxfId="17"/>
    <tableColumn id="21" xr3:uid="{68A9061B-CFD1-487D-AEF8-2F0E455799E3}" name="سنه الصنع" dataDxfId="16"/>
    <tableColumn id="23" xr3:uid="{DB5B9F32-8F72-46A1-8B0D-797D7F2EA6D4}" name="اللون" dataDxfId="15"/>
    <tableColumn id="7" xr3:uid="{00000000-0010-0000-0000-000007000000}" name="تاريخ الشراء" dataDxfId="14"/>
    <tableColumn id="8" xr3:uid="{00000000-0010-0000-0000-000008000000}" name="sales order" dataDxfId="13"/>
    <tableColumn id="12" xr3:uid="{00000000-0010-0000-0000-00000C000000}" name="invoice num" dataDxfId="12"/>
    <tableColumn id="19" xr3:uid="{C3254FC3-5C0D-471B-9263-668DE998E245}" name="ايصال خزينة" dataDxfId="11"/>
    <tableColumn id="25" xr3:uid="{EA09A1E7-4819-4F53-9B6E-9E3BF169128B}" name="Price" dataDxfId="10"/>
    <tableColumn id="15" xr3:uid="{00000000-0010-0000-0000-00000F000000}" name="وصول _x000a_مبايعات" dataDxfId="9"/>
    <tableColumn id="20" xr3:uid="{A34F51C1-F08D-4878-B0F9-779A0B7D47F3}" name="رقم المبايعة" dataDxfId="8"/>
    <tableColumn id="27" xr3:uid="{4E3EDEDF-CDF9-4AD7-9EE7-8074181A89F3}" name="تم ارسالة رسالة للعميل" dataDxfId="7"/>
    <tableColumn id="16" xr3:uid="{00000000-0010-0000-0000-000010000000}" name="استلام _x000a_المبيعات" dataDxfId="6"/>
    <tableColumn id="24" xr3:uid="{77787D7A-6511-49CC-84C5-4D87422DF614}" name="تاريخ استلام المبايعة" dataDxfId="5">
      <calculatedColumnFormula>IF(X2&lt;&gt;"",IF(Y2="",NOW(),Y2),"")</calculatedColumnFormula>
    </tableColumn>
    <tableColumn id="17" xr3:uid="{00000000-0010-0000-0000-000011000000}" name="الأيام منذ_x000a_الشراء" dataDxfId="4">
      <calculatedColumnFormula>TODAY()-Table1[[#This Row],[تاريخ الشراء]]</calculatedColumnFormula>
    </tableColumn>
    <tableColumn id="29" xr3:uid="{C4E61494-3255-4995-B7E0-F3CD68CC9524}" name="تفاصيل" dataDxfId="3"/>
    <tableColumn id="30" xr3:uid="{119E7BE8-CD6B-486D-9A3B-B6798F38BB61}" name="البيع (نقدي- تقسيط)" dataDxfId="0"/>
    <tableColumn id="18" xr3:uid="{00000000-0010-0000-0000-000012000000}" name="جهة التقسيط" dataDxfId="2"/>
    <tableColumn id="28" xr3:uid="{6CE9C270-71B7-4ABE-96DD-8B186D1E4FC8}" name="Column1" dataDxfId="1"/>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91DC63C-6C01-4429-9A2E-794D3ABB1AA1}">
  <we:reference id="wa104381026" version="1.2.0.0" store="en-US" storeType="OMEX"/>
  <we:alternateReferences>
    <we:reference id="wa104381026" version="1.2.0.0" store="WA104381026" storeType="OMEX"/>
  </we:alternateReferences>
  <we:properties>
    <we:property name="insertIntoSheet" value="&quot;المخزن&quot;"/>
    <we:property name="insertIntoSheet2" value="&quot;المخزن&quot;"/>
    <we:property name="insertIntoCell" value="&quot;&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1605;&#1604;&#1601;&#1575;&#1578;%20&#1575;&#1604;&#1593;&#1605;&#1604;&#1575;&#1569;/ID%20CUSTOUMAR/ID_&#1593;&#1576;&#1583;&#1575;&#1604;&#1585;&#1581;&#1605;&#1606;%20&#1605;&#1581;&#1605;&#1583;%20&#1576;&#1603;&#1585;&#1610;%20&#1575;&#1581;&#1605;&#1583;%20&#1593;&#1576;&#1583;&#1575;&#1604;&#1602;&#1575;&#1583;&#1585;.png"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vmlDrawing" Target="../drawings/vmlDrawing8.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8"/>
  <sheetViews>
    <sheetView rightToLeft="1" tabSelected="1" zoomScale="90" zoomScaleNormal="90" workbookViewId="0">
      <pane xSplit="2" ySplit="1" topLeftCell="O2" activePane="bottomRight" state="frozen"/>
      <selection pane="topRight" activeCell="C1" sqref="C1"/>
      <selection pane="bottomLeft" activeCell="A2" sqref="A2"/>
      <selection pane="bottomRight" activeCell="S8" sqref="S8"/>
    </sheetView>
  </sheetViews>
  <sheetFormatPr defaultColWidth="0" defaultRowHeight="28.5" customHeight="1" x14ac:dyDescent="0.25"/>
  <cols>
    <col min="1" max="1" width="4.42578125" style="1" bestFit="1" customWidth="1"/>
    <col min="2" max="2" width="45.7109375" style="1" customWidth="1"/>
    <col min="3" max="3" width="13.7109375" style="1" bestFit="1" customWidth="1"/>
    <col min="4" max="4" width="11.5703125" style="1" bestFit="1" customWidth="1"/>
    <col min="5" max="5" width="44.42578125" style="1" bestFit="1" customWidth="1"/>
    <col min="6" max="6" width="13" style="4" bestFit="1" customWidth="1"/>
    <col min="7" max="7" width="15.28515625" style="4" customWidth="1"/>
    <col min="8" max="8" width="16.85546875" style="2" bestFit="1" customWidth="1"/>
    <col min="9" max="9" width="6.140625" style="2" bestFit="1" customWidth="1"/>
    <col min="10" max="10" width="8.7109375" style="2" bestFit="1" customWidth="1"/>
    <col min="11" max="11" width="13.5703125" style="4" bestFit="1" customWidth="1"/>
    <col min="12" max="12" width="21.42578125" bestFit="1" customWidth="1"/>
    <col min="13" max="13" width="22.140625" bestFit="1" customWidth="1"/>
    <col min="14" max="14" width="9.42578125" bestFit="1" customWidth="1"/>
    <col min="15" max="15" width="13.85546875" bestFit="1" customWidth="1"/>
    <col min="16" max="16" width="20.140625" style="17" bestFit="1" customWidth="1"/>
    <col min="17" max="17" width="16.5703125" style="1" bestFit="1" customWidth="1"/>
    <col min="18" max="18" width="17.7109375" style="2" bestFit="1" customWidth="1"/>
    <col min="19" max="19" width="16.42578125" style="3" bestFit="1" customWidth="1"/>
    <col min="20" max="20" width="14.85546875" style="24" bestFit="1" customWidth="1"/>
    <col min="21" max="21" width="12.28515625" style="2" customWidth="1"/>
    <col min="22" max="22" width="15.7109375" style="2" bestFit="1" customWidth="1"/>
    <col min="23" max="23" width="15.7109375" style="2" customWidth="1"/>
    <col min="24" max="24" width="13.42578125" bestFit="1" customWidth="1"/>
    <col min="25" max="25" width="23.140625" style="23" bestFit="1" customWidth="1"/>
    <col min="26" max="26" width="12.140625" style="2" bestFit="1" customWidth="1"/>
    <col min="27" max="28" width="33.5703125" style="2" customWidth="1"/>
    <col min="29" max="29" width="17.5703125" bestFit="1" customWidth="1"/>
    <col min="30" max="30" width="11.7109375" hidden="1" customWidth="1"/>
    <col min="31" max="31" width="12" style="2" hidden="1" customWidth="1"/>
    <col min="32" max="32" width="10" style="4" hidden="1" customWidth="1"/>
    <col min="33" max="33" width="13.42578125" style="1" hidden="1" customWidth="1"/>
    <col min="34" max="34" width="12.140625" style="2" hidden="1" customWidth="1"/>
    <col min="35" max="35" width="11.7109375" style="1" hidden="1" customWidth="1"/>
    <col min="36" max="41" width="0" style="1" hidden="1" customWidth="1"/>
    <col min="42" max="16384" width="9" style="1" hidden="1"/>
  </cols>
  <sheetData>
    <row r="1" spans="1:34" ht="32.25" customHeight="1" x14ac:dyDescent="0.25">
      <c r="A1" s="1" t="s">
        <v>0</v>
      </c>
      <c r="B1" s="1" t="s">
        <v>1</v>
      </c>
      <c r="C1" s="1" t="s">
        <v>14</v>
      </c>
      <c r="D1" s="1" t="s">
        <v>15</v>
      </c>
      <c r="E1" s="1" t="s">
        <v>16</v>
      </c>
      <c r="F1" s="4" t="s">
        <v>9</v>
      </c>
      <c r="G1" s="4" t="s">
        <v>39</v>
      </c>
      <c r="H1" s="2" t="s">
        <v>10</v>
      </c>
      <c r="I1" s="2" t="s">
        <v>85</v>
      </c>
      <c r="J1" s="2" t="s">
        <v>2</v>
      </c>
      <c r="K1" s="1" t="s">
        <v>7</v>
      </c>
      <c r="L1" s="4" t="s">
        <v>5</v>
      </c>
      <c r="M1" s="4" t="s">
        <v>6</v>
      </c>
      <c r="N1" s="2" t="s">
        <v>38</v>
      </c>
      <c r="O1" s="2" t="s">
        <v>40</v>
      </c>
      <c r="P1" s="17" t="s">
        <v>3</v>
      </c>
      <c r="Q1" s="2" t="s">
        <v>4</v>
      </c>
      <c r="R1" s="2" t="s">
        <v>8</v>
      </c>
      <c r="S1" s="2" t="s">
        <v>18</v>
      </c>
      <c r="T1" s="24" t="s">
        <v>45</v>
      </c>
      <c r="U1" s="1" t="s">
        <v>11</v>
      </c>
      <c r="V1" s="4" t="s">
        <v>17</v>
      </c>
      <c r="W1" s="5" t="s">
        <v>66</v>
      </c>
      <c r="X1" s="1" t="s">
        <v>12</v>
      </c>
      <c r="Y1" s="17" t="s">
        <v>44</v>
      </c>
      <c r="Z1" s="15" t="s">
        <v>13</v>
      </c>
      <c r="AA1" s="15" t="s">
        <v>169</v>
      </c>
      <c r="AB1" s="1" t="s">
        <v>205</v>
      </c>
      <c r="AC1" s="1" t="s">
        <v>208</v>
      </c>
      <c r="AD1" s="1" t="s">
        <v>91</v>
      </c>
      <c r="AE1" s="1"/>
      <c r="AF1" s="1"/>
      <c r="AH1" s="1"/>
    </row>
    <row r="2" spans="1:34" ht="28.5" customHeight="1" x14ac:dyDescent="0.25">
      <c r="A2" s="1">
        <f t="shared" ref="A2:A4" si="0">ROW()-1</f>
        <v>1</v>
      </c>
      <c r="B2" s="1" t="s">
        <v>170</v>
      </c>
      <c r="C2" s="1" t="s">
        <v>53</v>
      </c>
      <c r="D2" s="1" t="s">
        <v>54</v>
      </c>
      <c r="E2" s="1" t="s">
        <v>63</v>
      </c>
      <c r="F2" s="4" t="s">
        <v>64</v>
      </c>
      <c r="G2" s="4" t="s">
        <v>65</v>
      </c>
      <c r="H2" s="2">
        <v>29402122701018</v>
      </c>
      <c r="J2" s="2">
        <v>1</v>
      </c>
      <c r="K2" s="4" t="s">
        <v>51</v>
      </c>
      <c r="L2" s="4" t="s">
        <v>88</v>
      </c>
      <c r="M2" s="4" t="s">
        <v>89</v>
      </c>
      <c r="N2" s="2">
        <v>2026</v>
      </c>
      <c r="O2" s="2" t="s">
        <v>52</v>
      </c>
      <c r="P2" s="17">
        <v>46049.98578703704</v>
      </c>
      <c r="Q2" s="2"/>
      <c r="S2" s="2"/>
      <c r="T2" s="24">
        <v>55000</v>
      </c>
      <c r="V2" s="4"/>
      <c r="W2" s="4"/>
      <c r="X2" s="1"/>
      <c r="Y2" s="17"/>
      <c r="Z2" s="2">
        <f ca="1">TODAY()-Table1[[#This Row],[تاريخ الشراء]]</f>
        <v>253.0142129629603</v>
      </c>
      <c r="AB2" s="1" t="s">
        <v>167</v>
      </c>
      <c r="AC2" s="1" t="s">
        <v>167</v>
      </c>
      <c r="AD2" s="43" t="s">
        <v>90</v>
      </c>
    </row>
    <row r="3" spans="1:34" ht="28.5" customHeight="1" x14ac:dyDescent="0.25">
      <c r="A3" s="1">
        <v>2</v>
      </c>
      <c r="B3" s="1" t="s">
        <v>97</v>
      </c>
      <c r="C3" s="1" t="s">
        <v>98</v>
      </c>
      <c r="D3" s="1" t="s">
        <v>70</v>
      </c>
      <c r="E3" s="1" t="s">
        <v>99</v>
      </c>
      <c r="F3" s="4" t="s">
        <v>100</v>
      </c>
      <c r="G3" s="4" t="s">
        <v>101</v>
      </c>
      <c r="H3" s="2">
        <v>30202022703397</v>
      </c>
      <c r="J3" s="2">
        <v>2</v>
      </c>
      <c r="K3" s="4" t="s">
        <v>102</v>
      </c>
      <c r="L3" s="4" t="s">
        <v>103</v>
      </c>
      <c r="M3" s="4" t="s">
        <v>104</v>
      </c>
      <c r="N3" s="2">
        <v>2026</v>
      </c>
      <c r="O3" s="2" t="s">
        <v>52</v>
      </c>
      <c r="P3" s="17">
        <v>46061</v>
      </c>
      <c r="Q3" s="2"/>
      <c r="S3" s="2"/>
      <c r="T3" s="24">
        <v>61000</v>
      </c>
      <c r="V3" s="4"/>
      <c r="W3" s="4"/>
      <c r="X3" s="1"/>
      <c r="Y3" s="17"/>
      <c r="Z3" s="2">
        <f ca="1">TODAY()-Table1[[#This Row],[تاريخ الشراء]]</f>
        <v>242</v>
      </c>
      <c r="AB3" s="1" t="s">
        <v>167</v>
      </c>
      <c r="AC3" s="1" t="s">
        <v>167</v>
      </c>
      <c r="AD3" s="1"/>
    </row>
    <row r="4" spans="1:34" ht="28.5" customHeight="1" x14ac:dyDescent="0.25">
      <c r="A4" s="1">
        <f t="shared" si="0"/>
        <v>3</v>
      </c>
      <c r="B4" s="1" t="s">
        <v>105</v>
      </c>
      <c r="C4" s="1" t="s">
        <v>98</v>
      </c>
      <c r="D4" s="1" t="s">
        <v>70</v>
      </c>
      <c r="E4" s="1" t="s">
        <v>106</v>
      </c>
      <c r="F4" s="4" t="s">
        <v>107</v>
      </c>
      <c r="G4" s="4" t="s">
        <v>108</v>
      </c>
      <c r="H4" s="2">
        <v>29205212701734</v>
      </c>
      <c r="J4" s="2">
        <v>3</v>
      </c>
      <c r="K4" s="4" t="s">
        <v>102</v>
      </c>
      <c r="L4" s="4" t="s">
        <v>110</v>
      </c>
      <c r="M4" s="4" t="s">
        <v>111</v>
      </c>
      <c r="N4" s="2">
        <v>2026</v>
      </c>
      <c r="O4" s="2" t="s">
        <v>109</v>
      </c>
      <c r="P4" s="17">
        <v>46061</v>
      </c>
      <c r="Q4" s="15"/>
      <c r="S4" s="5"/>
      <c r="T4" s="25">
        <v>61000</v>
      </c>
      <c r="V4" s="4"/>
      <c r="W4" s="4"/>
      <c r="X4" s="1"/>
      <c r="Y4" s="17"/>
      <c r="Z4" s="2">
        <f ca="1">TODAY()-Table1[[#This Row],[تاريخ الشراء]]</f>
        <v>242</v>
      </c>
      <c r="AB4" s="1" t="s">
        <v>167</v>
      </c>
      <c r="AC4" s="1" t="s">
        <v>167</v>
      </c>
      <c r="AD4" s="1"/>
    </row>
    <row r="5" spans="1:34" ht="28.5" customHeight="1" x14ac:dyDescent="0.25">
      <c r="A5" s="1">
        <v>4</v>
      </c>
      <c r="B5" s="1" t="s">
        <v>120</v>
      </c>
      <c r="C5" s="1" t="s">
        <v>121</v>
      </c>
      <c r="D5" s="1" t="s">
        <v>122</v>
      </c>
      <c r="E5" s="1" t="s">
        <v>123</v>
      </c>
      <c r="F5" s="4" t="s">
        <v>124</v>
      </c>
      <c r="G5" s="4" t="s">
        <v>125</v>
      </c>
      <c r="H5" s="2">
        <v>30012022801018</v>
      </c>
      <c r="J5" s="2">
        <v>4</v>
      </c>
      <c r="K5" s="4" t="s">
        <v>51</v>
      </c>
      <c r="L5" s="4" t="s">
        <v>130</v>
      </c>
      <c r="M5" s="4" t="s">
        <v>131</v>
      </c>
      <c r="N5" s="2">
        <v>2026</v>
      </c>
      <c r="O5" s="2" t="s">
        <v>52</v>
      </c>
      <c r="P5" s="17">
        <v>46085</v>
      </c>
      <c r="Q5" s="2"/>
      <c r="S5" s="2"/>
      <c r="T5" s="24">
        <v>55000</v>
      </c>
      <c r="V5" s="4"/>
      <c r="W5" s="4"/>
      <c r="X5" s="1"/>
      <c r="Y5" s="17" t="str">
        <f t="shared" ref="Y5" ca="1" si="1">IF(X5&lt;&gt;"",IF(Y5="",NOW(),Y5),"")</f>
        <v/>
      </c>
      <c r="Z5" s="2">
        <f ca="1">TODAY()-Table1[[#This Row],[تاريخ الشراء]]</f>
        <v>218</v>
      </c>
      <c r="AB5" s="1" t="s">
        <v>167</v>
      </c>
      <c r="AC5" s="1" t="s">
        <v>167</v>
      </c>
      <c r="AD5" s="1"/>
    </row>
    <row r="6" spans="1:34" ht="28.5" customHeight="1" x14ac:dyDescent="0.25">
      <c r="A6" s="1">
        <v>5</v>
      </c>
      <c r="B6" s="1" t="s">
        <v>129</v>
      </c>
      <c r="C6" s="1" t="s">
        <v>121</v>
      </c>
      <c r="D6" s="1" t="s">
        <v>122</v>
      </c>
      <c r="E6" s="1" t="s">
        <v>128</v>
      </c>
      <c r="F6" s="4" t="s">
        <v>127</v>
      </c>
      <c r="G6" s="4" t="s">
        <v>126</v>
      </c>
      <c r="H6" s="2">
        <v>29902212800557</v>
      </c>
      <c r="J6" s="2">
        <v>5</v>
      </c>
      <c r="K6" s="4" t="s">
        <v>51</v>
      </c>
      <c r="L6" s="4" t="s">
        <v>150</v>
      </c>
      <c r="M6" s="4" t="s">
        <v>151</v>
      </c>
      <c r="N6" s="2">
        <v>2026</v>
      </c>
      <c r="O6" s="2" t="s">
        <v>52</v>
      </c>
      <c r="P6" s="17">
        <v>46085</v>
      </c>
      <c r="Q6" s="2"/>
      <c r="S6" s="2"/>
      <c r="T6" s="24">
        <v>55000</v>
      </c>
      <c r="V6" s="4"/>
      <c r="W6" s="4"/>
      <c r="X6" s="1"/>
      <c r="Y6" s="17" t="str">
        <f t="shared" ref="Y6:Y8" ca="1" si="2">IF(X6&lt;&gt;"",IF(Y6="",NOW(),Y6),"")</f>
        <v/>
      </c>
      <c r="Z6" s="2">
        <f ca="1">TODAY()-Table1[[#This Row],[تاريخ الشراء]]</f>
        <v>218</v>
      </c>
      <c r="AB6" s="1" t="s">
        <v>167</v>
      </c>
      <c r="AC6" s="1" t="s">
        <v>167</v>
      </c>
      <c r="AD6" s="1"/>
    </row>
    <row r="7" spans="1:34" ht="28.5" customHeight="1" x14ac:dyDescent="0.25">
      <c r="A7" s="1">
        <v>6</v>
      </c>
      <c r="B7" s="1" t="s">
        <v>135</v>
      </c>
      <c r="C7" s="1" t="s">
        <v>98</v>
      </c>
      <c r="D7" s="1" t="s">
        <v>136</v>
      </c>
      <c r="E7" s="1" t="s">
        <v>137</v>
      </c>
      <c r="F7" s="4" t="s">
        <v>138</v>
      </c>
      <c r="G7" s="4" t="s">
        <v>139</v>
      </c>
      <c r="H7" s="2">
        <v>29505192700098</v>
      </c>
      <c r="J7" s="2">
        <v>6</v>
      </c>
      <c r="K7" s="4" t="s">
        <v>51</v>
      </c>
      <c r="L7" s="4" t="s">
        <v>141</v>
      </c>
      <c r="M7" s="4" t="s">
        <v>142</v>
      </c>
      <c r="N7" s="2">
        <v>2026</v>
      </c>
      <c r="O7" s="2" t="s">
        <v>140</v>
      </c>
      <c r="P7" s="17">
        <v>46091</v>
      </c>
      <c r="Q7" s="2"/>
      <c r="S7" s="2"/>
      <c r="T7" s="24">
        <v>54800</v>
      </c>
      <c r="V7" s="4"/>
      <c r="W7" s="4"/>
      <c r="X7" s="1"/>
      <c r="Y7" s="17" t="str">
        <f t="shared" ca="1" si="2"/>
        <v/>
      </c>
      <c r="Z7" s="2">
        <f ca="1">TODAY()-Table1[[#This Row],[تاريخ الشراء]]</f>
        <v>212</v>
      </c>
      <c r="AB7" s="1" t="s">
        <v>167</v>
      </c>
      <c r="AC7" s="1" t="s">
        <v>167</v>
      </c>
      <c r="AD7" s="1"/>
    </row>
    <row r="8" spans="1:34" ht="28.5" customHeight="1" x14ac:dyDescent="0.25">
      <c r="A8" s="1">
        <v>7</v>
      </c>
      <c r="B8" s="1" t="s">
        <v>143</v>
      </c>
      <c r="C8" s="1" t="s">
        <v>53</v>
      </c>
      <c r="D8" s="1" t="s">
        <v>144</v>
      </c>
      <c r="E8" s="1" t="s">
        <v>145</v>
      </c>
      <c r="F8" s="4" t="s">
        <v>147</v>
      </c>
      <c r="G8" s="4" t="s">
        <v>146</v>
      </c>
      <c r="H8" s="2">
        <v>29408102701052</v>
      </c>
      <c r="J8" s="2">
        <v>7</v>
      </c>
      <c r="K8" s="4" t="s">
        <v>51</v>
      </c>
      <c r="L8" s="4" t="s">
        <v>148</v>
      </c>
      <c r="M8" s="4" t="s">
        <v>149</v>
      </c>
      <c r="N8" s="2">
        <v>2026</v>
      </c>
      <c r="O8" s="2" t="s">
        <v>52</v>
      </c>
      <c r="P8" s="17">
        <v>46091</v>
      </c>
      <c r="Q8" s="2"/>
      <c r="S8" s="2"/>
      <c r="T8" s="24">
        <v>55000</v>
      </c>
      <c r="V8" s="4"/>
      <c r="W8" s="4"/>
      <c r="X8" s="1"/>
      <c r="Y8" s="17" t="str">
        <f t="shared" ca="1" si="2"/>
        <v/>
      </c>
      <c r="Z8" s="2">
        <f ca="1">TODAY()-Table1[[#This Row],[تاريخ الشراء]]</f>
        <v>212</v>
      </c>
      <c r="AB8" s="1" t="s">
        <v>207</v>
      </c>
      <c r="AC8" s="1" t="s">
        <v>206</v>
      </c>
      <c r="AD8" s="1"/>
    </row>
  </sheetData>
  <phoneticPr fontId="3" type="noConversion"/>
  <dataValidations count="5">
    <dataValidation type="list" allowBlank="1" showInputMessage="1" showErrorMessage="1" sqref="X1 AG2:AG1048576" xr:uid="{00000000-0002-0000-0000-000002000000}">
      <formula1>"تم,ترخيص,مشروعي,فاتورة"</formula1>
    </dataValidation>
    <dataValidation type="list" allowBlank="1" showInputMessage="1" showErrorMessage="1" sqref="U1" xr:uid="{00000000-0002-0000-0000-000001000000}">
      <formula1>"وصل,لم يصل,مشروعي"</formula1>
    </dataValidation>
    <dataValidation type="list" allowBlank="1" showInputMessage="1" showErrorMessage="1" sqref="Q6:Q1048576" xr:uid="{00000000-0002-0000-0000-000000000000}">
      <formula1>"Tuk Tuk,Maxima,Boxer BM,Boxer X,Pulasr180"</formula1>
    </dataValidation>
    <dataValidation type="list" allowBlank="1" showInputMessage="1" showErrorMessage="1" sqref="K1:K1048576" xr:uid="{48098FA6-7676-4C60-ABBE-74030D1783B7}">
      <formula1>"Tuk Tuk,Maxima,Discover 125,Boxer BM,Boxer X,Qute,Pulsar150,Pulsar180,G-MAX200-RT,G-MAX200-FT,G-MAX150-FT,G-MAX150-RT,Roma,Spider 150"</formula1>
    </dataValidation>
    <dataValidation type="list" allowBlank="1" showInputMessage="1" showErrorMessage="1" sqref="O1:O1048576" xr:uid="{A51AD14E-EB52-4D59-B041-D77372FD363F}">
      <formula1>"Blue,,yellow,Red,Black*red,Black*grey,Grey,Black*yellow,Black*Blue,Red,White,Black,Olive black,Orange"</formula1>
    </dataValidation>
  </dataValidations>
  <hyperlinks>
    <hyperlink ref="AD2" r:id="rId1" xr:uid="{731C9BDE-E885-48AE-914B-9D5873F46972}"/>
  </hyperlinks>
  <pageMargins left="0.7" right="0.7" top="0.75" bottom="0.75" header="0.3" footer="0.3"/>
  <pageSetup orientation="portrait" r:id="rId2"/>
  <ignoredErrors>
    <ignoredError sqref="A3" calculatedColumn="1"/>
  </ignoredErrors>
  <drawing r:id="rId3"/>
  <legacyDrawing r:id="rId4"/>
  <mc:AlternateContent xmlns:mc="http://schemas.openxmlformats.org/markup-compatibility/2006">
    <mc:Choice Requires="x14">
      <controls>
        <mc:AlternateContent xmlns:mc="http://schemas.openxmlformats.org/markup-compatibility/2006">
          <mc:Choice Requires="x14">
            <control shapeId="5131" r:id="rId5" name="Button 11">
              <controlPr defaultSize="0" print="0" autoFill="0" autoPict="0" macro="[0]!إضافة_ملف_للعميل">
                <anchor moveWithCells="1" sizeWithCells="1">
                  <from>
                    <xdr:col>0</xdr:col>
                    <xdr:colOff>238125</xdr:colOff>
                    <xdr:row>0</xdr:row>
                    <xdr:rowOff>0</xdr:rowOff>
                  </from>
                  <to>
                    <xdr:col>1</xdr:col>
                    <xdr:colOff>828675</xdr:colOff>
                    <xdr:row>0</xdr:row>
                    <xdr:rowOff>381000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iconSet" priority="28" id="{CD9111B9-5607-45A4-89D6-0A0E9B2E24D4}">
            <x14:iconSet iconSet="3Symbols2" showValue="0" custom="1">
              <x14:cfvo type="percent">
                <xm:f>0</xm:f>
              </x14:cfvo>
              <x14:cfvo type="num">
                <xm:f>0</xm:f>
              </x14:cfvo>
              <x14:cfvo type="num" gte="0">
                <xm:f>0</xm:f>
              </x14:cfvo>
              <x14:cfIcon iconSet="NoIcons" iconId="0"/>
              <x14:cfIcon iconSet="3Symbols2" iconId="0"/>
              <x14:cfIcon iconSet="3Symbols2" iconId="2"/>
            </x14:iconSet>
          </x14:cfRule>
          <xm:sqref>U1:U1048576</xm:sqref>
        </x14:conditionalFormatting>
        <x14:conditionalFormatting xmlns:xm="http://schemas.microsoft.com/office/excel/2006/main">
          <x14:cfRule type="iconSet" priority="67" id="{FF90EFE0-1CFD-403E-AF3F-90EEE1330198}">
            <x14:iconSet iconSet="3Symbols2" showValue="0" custom="1">
              <x14:cfvo type="percent">
                <xm:f>0</xm:f>
              </x14:cfvo>
              <x14:cfvo type="num">
                <xm:f>0</xm:f>
              </x14:cfvo>
              <x14:cfvo type="num" gte="0">
                <xm:f>0</xm:f>
              </x14:cfvo>
              <x14:cfIcon iconSet="NoIcons" iconId="0"/>
              <x14:cfIcon iconSet="3Symbols2" iconId="0"/>
              <x14:cfIcon iconSet="3Symbols2" iconId="2"/>
            </x14:iconSet>
          </x14:cfRule>
          <xm:sqref>U6</xm:sqref>
        </x14:conditionalFormatting>
        <x14:conditionalFormatting xmlns:xm="http://schemas.microsoft.com/office/excel/2006/main">
          <x14:cfRule type="iconSet" priority="68" id="{8E142A97-F211-48CA-A516-DC308A7B2591}">
            <x14:iconSet iconSet="3Symbols2" showValue="0" custom="1">
              <x14:cfvo type="percent">
                <xm:f>0</xm:f>
              </x14:cfvo>
              <x14:cfvo type="num">
                <xm:f>0</xm:f>
              </x14:cfvo>
              <x14:cfvo type="num" gte="0">
                <xm:f>0</xm:f>
              </x14:cfvo>
              <x14:cfIcon iconSet="NoIcons" iconId="0"/>
              <x14:cfIcon iconSet="NoIcons" iconId="0"/>
              <x14:cfIcon iconSet="3Symbols2" iconId="2"/>
            </x14:iconSet>
          </x14:cfRule>
          <xm:sqref>X6</xm:sqref>
        </x14:conditionalFormatting>
        <x14:conditionalFormatting xmlns:xm="http://schemas.microsoft.com/office/excel/2006/main">
          <x14:cfRule type="iconSet" priority="91" id="{5B670F02-25AD-4DE3-A2D9-CF26D49F52ED}">
            <x14:iconSet iconSet="3Symbols2" showValue="0" custom="1">
              <x14:cfvo type="percent">
                <xm:f>0</xm:f>
              </x14:cfvo>
              <x14:cfvo type="num">
                <xm:f>0</xm:f>
              </x14:cfvo>
              <x14:cfvo type="num" gte="0">
                <xm:f>0</xm:f>
              </x14:cfvo>
              <x14:cfIcon iconSet="NoIcons" iconId="0"/>
              <x14:cfIcon iconSet="NoIcons" iconId="0"/>
              <x14:cfIcon iconSet="3Symbols2" iconId="2"/>
            </x14:iconSet>
          </x14:cfRule>
          <xm:sqref>X1:X8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DB36-C650-4B60-81DD-22776BB9E7FA}">
  <sheetPr codeName="Sheet7"/>
  <dimension ref="A1:P24"/>
  <sheetViews>
    <sheetView rightToLeft="1" topLeftCell="E1" workbookViewId="0">
      <selection activeCell="P2" sqref="P2"/>
    </sheetView>
  </sheetViews>
  <sheetFormatPr defaultColWidth="8.85546875" defaultRowHeight="21" x14ac:dyDescent="0.25"/>
  <cols>
    <col min="1" max="1" width="8.85546875" style="47"/>
    <col min="2" max="2" width="36.7109375" style="47" customWidth="1"/>
    <col min="3" max="5" width="34.140625" style="47" customWidth="1"/>
    <col min="6" max="6" width="13.140625" style="47" bestFit="1" customWidth="1"/>
    <col min="7" max="7" width="15" style="47" bestFit="1" customWidth="1"/>
    <col min="8" max="8" width="8.85546875" style="47" bestFit="1" customWidth="1"/>
    <col min="9" max="9" width="7.85546875" style="47" bestFit="1" customWidth="1"/>
    <col min="10" max="11" width="22.85546875" style="48" customWidth="1"/>
    <col min="12" max="12" width="12.7109375" style="47" bestFit="1" customWidth="1"/>
    <col min="13" max="13" width="23.85546875" style="48" customWidth="1"/>
    <col min="14" max="15" width="18.85546875" style="47" customWidth="1"/>
    <col min="16" max="16" width="26.5703125" style="47" bestFit="1" customWidth="1"/>
    <col min="17" max="16384" width="8.85546875" style="47"/>
  </cols>
  <sheetData>
    <row r="1" spans="1:16" x14ac:dyDescent="0.25">
      <c r="A1" s="44" t="s">
        <v>0</v>
      </c>
      <c r="B1" s="45" t="s">
        <v>92</v>
      </c>
      <c r="C1" s="45" t="s">
        <v>93</v>
      </c>
      <c r="D1" s="45" t="s">
        <v>189</v>
      </c>
      <c r="E1" s="45" t="s">
        <v>190</v>
      </c>
      <c r="F1" s="45" t="s">
        <v>199</v>
      </c>
      <c r="G1" s="45" t="s">
        <v>200</v>
      </c>
      <c r="H1" s="45" t="s">
        <v>202</v>
      </c>
      <c r="I1" s="45" t="s">
        <v>201</v>
      </c>
      <c r="J1" s="46" t="s">
        <v>94</v>
      </c>
      <c r="K1" s="46" t="s">
        <v>193</v>
      </c>
      <c r="L1" s="44" t="s">
        <v>95</v>
      </c>
      <c r="M1" s="46" t="s">
        <v>194</v>
      </c>
      <c r="N1" s="44" t="s">
        <v>195</v>
      </c>
      <c r="O1" s="44" t="s">
        <v>203</v>
      </c>
      <c r="P1" s="44" t="s">
        <v>204</v>
      </c>
    </row>
    <row r="2" spans="1:16" x14ac:dyDescent="0.25">
      <c r="A2" s="44">
        <v>1</v>
      </c>
      <c r="B2" s="44" t="s">
        <v>96</v>
      </c>
      <c r="C2" s="44" t="s">
        <v>89</v>
      </c>
      <c r="D2" s="44" t="s">
        <v>191</v>
      </c>
      <c r="E2" s="44" t="s">
        <v>196</v>
      </c>
      <c r="F2" s="44"/>
      <c r="G2" s="44"/>
      <c r="H2" s="44"/>
      <c r="I2" s="44"/>
      <c r="J2" s="46">
        <v>46049.98578703704</v>
      </c>
      <c r="K2" s="46"/>
      <c r="L2" s="45" t="s">
        <v>112</v>
      </c>
      <c r="M2" s="46">
        <v>46049.98578703704</v>
      </c>
      <c r="N2" s="45" t="s">
        <v>167</v>
      </c>
      <c r="O2" s="45"/>
      <c r="P2" s="45"/>
    </row>
    <row r="3" spans="1:16" x14ac:dyDescent="0.25">
      <c r="A3" s="44">
        <v>2</v>
      </c>
      <c r="B3" s="44" t="s">
        <v>103</v>
      </c>
      <c r="C3" s="44" t="s">
        <v>104</v>
      </c>
      <c r="D3" s="44" t="s">
        <v>192</v>
      </c>
      <c r="E3" s="44" t="s">
        <v>196</v>
      </c>
      <c r="F3" s="44"/>
      <c r="G3" s="44"/>
      <c r="H3" s="44"/>
      <c r="I3" s="44"/>
      <c r="J3" s="46">
        <v>46049.98578703704</v>
      </c>
      <c r="K3" s="46"/>
      <c r="L3" s="44">
        <v>2</v>
      </c>
      <c r="M3" s="46">
        <v>46061</v>
      </c>
      <c r="N3" s="45" t="s">
        <v>167</v>
      </c>
      <c r="O3" s="45"/>
      <c r="P3" s="45"/>
    </row>
    <row r="4" spans="1:16" x14ac:dyDescent="0.25">
      <c r="A4" s="44">
        <v>3</v>
      </c>
      <c r="B4" s="44" t="s">
        <v>110</v>
      </c>
      <c r="C4" s="44" t="s">
        <v>111</v>
      </c>
      <c r="D4" s="44" t="s">
        <v>191</v>
      </c>
      <c r="E4" s="44" t="s">
        <v>196</v>
      </c>
      <c r="F4" s="44"/>
      <c r="G4" s="44"/>
      <c r="H4" s="44"/>
      <c r="I4" s="44"/>
      <c r="J4" s="46">
        <v>46049.98578703704</v>
      </c>
      <c r="K4" s="46"/>
      <c r="L4" s="44">
        <v>3</v>
      </c>
      <c r="M4" s="46">
        <v>46061</v>
      </c>
      <c r="N4" s="45" t="s">
        <v>167</v>
      </c>
      <c r="O4" s="45"/>
      <c r="P4" s="45"/>
    </row>
    <row r="5" spans="1:16" x14ac:dyDescent="0.25">
      <c r="A5" s="44">
        <v>4</v>
      </c>
      <c r="B5" s="44" t="s">
        <v>130</v>
      </c>
      <c r="C5" s="44" t="s">
        <v>131</v>
      </c>
      <c r="D5" s="44" t="s">
        <v>191</v>
      </c>
      <c r="E5" s="44" t="s">
        <v>196</v>
      </c>
      <c r="F5" s="44"/>
      <c r="G5" s="44"/>
      <c r="H5" s="44"/>
      <c r="I5" s="44"/>
      <c r="J5" s="46">
        <v>46084</v>
      </c>
      <c r="K5" s="46"/>
      <c r="L5" s="44">
        <v>4</v>
      </c>
      <c r="M5" s="46">
        <v>46085</v>
      </c>
      <c r="N5" s="45" t="s">
        <v>167</v>
      </c>
      <c r="O5" s="45"/>
      <c r="P5" s="45"/>
    </row>
    <row r="6" spans="1:16" x14ac:dyDescent="0.25">
      <c r="A6" s="44">
        <v>5</v>
      </c>
      <c r="B6" s="44" t="s">
        <v>132</v>
      </c>
      <c r="C6" s="44" t="s">
        <v>133</v>
      </c>
      <c r="D6" s="44" t="s">
        <v>191</v>
      </c>
      <c r="E6" s="44" t="s">
        <v>196</v>
      </c>
      <c r="F6" s="44"/>
      <c r="G6" s="44"/>
      <c r="H6" s="44"/>
      <c r="I6" s="44"/>
      <c r="J6" s="46">
        <v>46084</v>
      </c>
      <c r="K6" s="46"/>
      <c r="L6" s="44">
        <v>5</v>
      </c>
      <c r="M6" s="46">
        <v>46085</v>
      </c>
      <c r="N6" s="45" t="s">
        <v>167</v>
      </c>
      <c r="O6" s="45"/>
      <c r="P6" s="45"/>
    </row>
    <row r="7" spans="1:16" x14ac:dyDescent="0.25">
      <c r="A7" s="44">
        <v>6</v>
      </c>
      <c r="B7" s="44" t="s">
        <v>150</v>
      </c>
      <c r="C7" s="44" t="s">
        <v>151</v>
      </c>
      <c r="D7" s="44" t="s">
        <v>192</v>
      </c>
      <c r="E7" s="44" t="s">
        <v>196</v>
      </c>
      <c r="F7" s="44"/>
      <c r="G7" s="44"/>
      <c r="H7" s="44"/>
      <c r="I7" s="44"/>
      <c r="J7" s="46">
        <v>46049.98578703704</v>
      </c>
      <c r="K7" s="46"/>
      <c r="L7" s="44">
        <v>6</v>
      </c>
      <c r="M7" s="46">
        <v>46091</v>
      </c>
      <c r="N7" s="45" t="s">
        <v>167</v>
      </c>
      <c r="O7" s="45"/>
      <c r="P7" s="45"/>
    </row>
    <row r="8" spans="1:16" x14ac:dyDescent="0.25">
      <c r="A8" s="44">
        <v>7</v>
      </c>
      <c r="B8" s="44" t="s">
        <v>148</v>
      </c>
      <c r="C8" s="44" t="s">
        <v>149</v>
      </c>
      <c r="D8" s="44" t="s">
        <v>192</v>
      </c>
      <c r="E8" s="44" t="s">
        <v>197</v>
      </c>
      <c r="F8" s="44"/>
      <c r="G8" s="44"/>
      <c r="H8" s="44"/>
      <c r="I8" s="44"/>
      <c r="J8" s="46">
        <v>46084</v>
      </c>
      <c r="K8" s="46"/>
      <c r="L8" s="44">
        <v>7</v>
      </c>
      <c r="M8" s="46">
        <v>46091</v>
      </c>
      <c r="N8" s="45" t="s">
        <v>167</v>
      </c>
      <c r="O8" s="45"/>
      <c r="P8" s="45"/>
    </row>
    <row r="9" spans="1:16" x14ac:dyDescent="0.25">
      <c r="A9" s="44">
        <v>8</v>
      </c>
      <c r="B9" s="44" t="s">
        <v>154</v>
      </c>
      <c r="C9" s="44" t="s">
        <v>155</v>
      </c>
      <c r="D9" s="44" t="s">
        <v>192</v>
      </c>
      <c r="E9" s="44" t="s">
        <v>196</v>
      </c>
      <c r="F9" s="44"/>
      <c r="G9" s="44"/>
      <c r="H9" s="44"/>
      <c r="I9" s="44"/>
      <c r="J9" s="46">
        <v>46084</v>
      </c>
      <c r="K9" s="46"/>
      <c r="L9" s="44">
        <v>8</v>
      </c>
      <c r="M9" s="46">
        <v>46095</v>
      </c>
      <c r="N9" s="45" t="s">
        <v>167</v>
      </c>
      <c r="O9" s="45"/>
      <c r="P9" s="45"/>
    </row>
    <row r="10" spans="1:16" x14ac:dyDescent="0.25">
      <c r="A10" s="44">
        <v>9</v>
      </c>
      <c r="B10" s="44" t="s">
        <v>152</v>
      </c>
      <c r="C10" s="44" t="s">
        <v>153</v>
      </c>
      <c r="D10" s="44" t="s">
        <v>192</v>
      </c>
      <c r="E10" s="44" t="s">
        <v>196</v>
      </c>
      <c r="F10" s="44"/>
      <c r="G10" s="44"/>
      <c r="H10" s="44"/>
      <c r="I10" s="44"/>
      <c r="J10" s="46">
        <v>46084</v>
      </c>
      <c r="K10" s="46"/>
      <c r="L10" s="44">
        <v>9</v>
      </c>
      <c r="M10" s="46">
        <v>46095</v>
      </c>
      <c r="N10" s="45" t="s">
        <v>167</v>
      </c>
      <c r="O10" s="45"/>
      <c r="P10" s="45"/>
    </row>
    <row r="11" spans="1:16" x14ac:dyDescent="0.25">
      <c r="A11" s="44">
        <v>10</v>
      </c>
      <c r="B11" s="44" t="s">
        <v>157</v>
      </c>
      <c r="C11" s="44" t="s">
        <v>158</v>
      </c>
      <c r="D11" s="44" t="s">
        <v>192</v>
      </c>
      <c r="E11" s="44" t="s">
        <v>196</v>
      </c>
      <c r="F11" s="44"/>
      <c r="G11" s="44"/>
      <c r="H11" s="44"/>
      <c r="I11" s="44"/>
      <c r="J11" s="46">
        <v>46099</v>
      </c>
      <c r="K11" s="46"/>
      <c r="L11" s="44">
        <v>13</v>
      </c>
      <c r="M11" s="46">
        <v>46099</v>
      </c>
      <c r="N11" s="45" t="s">
        <v>167</v>
      </c>
      <c r="O11" s="45"/>
      <c r="P11" s="45"/>
    </row>
    <row r="12" spans="1:16" x14ac:dyDescent="0.25">
      <c r="A12" s="44">
        <v>11</v>
      </c>
      <c r="B12" s="44" t="s">
        <v>156</v>
      </c>
      <c r="C12" s="44" t="s">
        <v>159</v>
      </c>
      <c r="D12" s="44" t="s">
        <v>192</v>
      </c>
      <c r="E12" s="44" t="s">
        <v>196</v>
      </c>
      <c r="F12" s="44"/>
      <c r="G12" s="44"/>
      <c r="H12" s="44"/>
      <c r="I12" s="44"/>
      <c r="J12" s="46">
        <v>46097</v>
      </c>
      <c r="K12" s="46"/>
      <c r="L12" s="44">
        <v>12</v>
      </c>
      <c r="M12" s="46">
        <v>46097</v>
      </c>
      <c r="N12" s="45" t="s">
        <v>167</v>
      </c>
      <c r="O12" s="45"/>
      <c r="P12" s="45"/>
    </row>
    <row r="13" spans="1:16" x14ac:dyDescent="0.25">
      <c r="A13" s="44">
        <v>12</v>
      </c>
      <c r="B13" s="44" t="s">
        <v>160</v>
      </c>
      <c r="C13" s="44" t="s">
        <v>161</v>
      </c>
      <c r="D13" s="44" t="s">
        <v>192</v>
      </c>
      <c r="E13" s="44" t="s">
        <v>196</v>
      </c>
      <c r="F13" s="44"/>
      <c r="G13" s="44"/>
      <c r="H13" s="44"/>
      <c r="I13" s="44"/>
      <c r="J13" s="46">
        <v>46112</v>
      </c>
      <c r="K13" s="46"/>
      <c r="L13" s="44">
        <v>14</v>
      </c>
      <c r="M13" s="46">
        <v>46112</v>
      </c>
      <c r="N13" s="45" t="s">
        <v>167</v>
      </c>
      <c r="O13" s="45"/>
      <c r="P13" s="45"/>
    </row>
    <row r="14" spans="1:16" x14ac:dyDescent="0.25">
      <c r="A14" s="44">
        <v>13</v>
      </c>
      <c r="B14" s="44" t="s">
        <v>162</v>
      </c>
      <c r="C14" s="44" t="s">
        <v>163</v>
      </c>
      <c r="D14" s="44" t="s">
        <v>191</v>
      </c>
      <c r="E14" s="44" t="s">
        <v>196</v>
      </c>
      <c r="F14" s="44"/>
      <c r="G14" s="44"/>
      <c r="H14" s="44"/>
      <c r="I14" s="44"/>
      <c r="J14" s="46">
        <v>46112</v>
      </c>
      <c r="K14" s="46"/>
      <c r="L14" s="44">
        <v>15</v>
      </c>
      <c r="M14" s="46">
        <v>46112</v>
      </c>
      <c r="N14" s="45" t="s">
        <v>167</v>
      </c>
      <c r="O14" s="45"/>
      <c r="P14" s="45"/>
    </row>
    <row r="15" spans="1:16" x14ac:dyDescent="0.25">
      <c r="A15" s="44">
        <v>14</v>
      </c>
      <c r="B15" s="44" t="s">
        <v>165</v>
      </c>
      <c r="C15" s="44" t="s">
        <v>166</v>
      </c>
      <c r="D15" s="44" t="s">
        <v>198</v>
      </c>
      <c r="E15" s="44" t="s">
        <v>197</v>
      </c>
      <c r="F15" s="44"/>
      <c r="G15" s="44"/>
      <c r="H15" s="44"/>
      <c r="I15" s="44"/>
      <c r="J15" s="46">
        <v>46112</v>
      </c>
      <c r="K15" s="46"/>
      <c r="L15" s="44">
        <v>16</v>
      </c>
      <c r="M15" s="46">
        <v>46112</v>
      </c>
      <c r="N15" s="45" t="s">
        <v>167</v>
      </c>
      <c r="O15" s="45"/>
      <c r="P15" s="45"/>
    </row>
    <row r="16" spans="1:16" x14ac:dyDescent="0.25">
      <c r="A16" s="44"/>
      <c r="B16" s="44"/>
      <c r="C16" s="44"/>
      <c r="D16" s="44"/>
      <c r="E16" s="44"/>
      <c r="F16" s="44"/>
      <c r="G16" s="44"/>
      <c r="H16" s="44"/>
      <c r="I16" s="44"/>
      <c r="J16" s="46"/>
      <c r="K16" s="46"/>
      <c r="L16" s="44"/>
      <c r="M16" s="46"/>
      <c r="N16" s="44"/>
      <c r="O16" s="44"/>
      <c r="P16" s="44"/>
    </row>
    <row r="17" spans="1:16" x14ac:dyDescent="0.25">
      <c r="A17" s="44"/>
      <c r="B17" s="44"/>
      <c r="C17" s="44"/>
      <c r="D17" s="44"/>
      <c r="E17" s="44"/>
      <c r="F17" s="44"/>
      <c r="G17" s="44"/>
      <c r="H17" s="44"/>
      <c r="I17" s="44"/>
      <c r="J17" s="46"/>
      <c r="K17" s="46"/>
      <c r="L17" s="44"/>
      <c r="M17" s="46"/>
      <c r="N17" s="44"/>
      <c r="O17" s="44"/>
      <c r="P17" s="44"/>
    </row>
    <row r="18" spans="1:16" x14ac:dyDescent="0.25">
      <c r="A18" s="44"/>
      <c r="B18" s="44"/>
      <c r="C18" s="44"/>
      <c r="D18" s="44"/>
      <c r="E18" s="44"/>
      <c r="F18" s="44"/>
      <c r="G18" s="44"/>
      <c r="H18" s="44"/>
      <c r="I18" s="44"/>
      <c r="J18" s="46"/>
      <c r="K18" s="46"/>
      <c r="L18" s="44"/>
      <c r="M18" s="46"/>
      <c r="N18" s="44"/>
      <c r="O18" s="44"/>
      <c r="P18" s="44"/>
    </row>
    <row r="19" spans="1:16" x14ac:dyDescent="0.25">
      <c r="A19" s="44"/>
      <c r="B19" s="44"/>
      <c r="C19" s="44"/>
      <c r="D19" s="44"/>
      <c r="E19" s="44"/>
      <c r="F19" s="44"/>
      <c r="G19" s="44"/>
      <c r="H19" s="44"/>
      <c r="I19" s="44"/>
      <c r="J19" s="46"/>
      <c r="K19" s="46"/>
      <c r="L19" s="44"/>
      <c r="M19" s="46"/>
      <c r="N19" s="44"/>
      <c r="O19" s="44"/>
      <c r="P19" s="44"/>
    </row>
    <row r="20" spans="1:16" x14ac:dyDescent="0.25">
      <c r="A20" s="44"/>
      <c r="B20" s="44"/>
      <c r="C20" s="44"/>
      <c r="D20" s="44"/>
      <c r="E20" s="44"/>
      <c r="F20" s="44"/>
      <c r="G20" s="44"/>
      <c r="H20" s="44"/>
      <c r="I20" s="44"/>
      <c r="J20" s="46"/>
      <c r="K20" s="46"/>
      <c r="L20" s="44"/>
      <c r="M20" s="46"/>
      <c r="N20" s="44"/>
      <c r="O20" s="44"/>
      <c r="P20" s="44"/>
    </row>
    <row r="21" spans="1:16" x14ac:dyDescent="0.25">
      <c r="A21" s="44"/>
      <c r="B21" s="44"/>
      <c r="C21" s="44"/>
      <c r="D21" s="44"/>
      <c r="E21" s="44"/>
      <c r="F21" s="44"/>
      <c r="G21" s="44"/>
      <c r="H21" s="44"/>
      <c r="I21" s="44"/>
      <c r="J21" s="46"/>
      <c r="K21" s="46"/>
      <c r="L21" s="44"/>
      <c r="M21" s="46"/>
      <c r="N21" s="44"/>
      <c r="O21" s="44"/>
      <c r="P21" s="44"/>
    </row>
    <row r="22" spans="1:16" x14ac:dyDescent="0.25">
      <c r="A22" s="44"/>
      <c r="B22" s="44"/>
      <c r="C22" s="44"/>
      <c r="D22" s="44"/>
      <c r="E22" s="44"/>
      <c r="F22" s="44"/>
      <c r="G22" s="44"/>
      <c r="H22" s="44"/>
      <c r="I22" s="44"/>
      <c r="J22" s="46"/>
      <c r="K22" s="46"/>
      <c r="L22" s="44"/>
      <c r="M22" s="46"/>
      <c r="N22" s="44"/>
      <c r="O22" s="44"/>
      <c r="P22" s="44"/>
    </row>
    <row r="23" spans="1:16" x14ac:dyDescent="0.25">
      <c r="A23" s="44"/>
      <c r="B23" s="44"/>
      <c r="C23" s="44"/>
      <c r="D23" s="44"/>
      <c r="E23" s="44"/>
      <c r="F23" s="44"/>
      <c r="G23" s="44"/>
      <c r="H23" s="44"/>
      <c r="I23" s="44"/>
      <c r="J23" s="46"/>
      <c r="K23" s="46"/>
      <c r="L23" s="44"/>
      <c r="M23" s="46"/>
      <c r="N23" s="44"/>
      <c r="O23" s="44"/>
      <c r="P23" s="44"/>
    </row>
    <row r="24" spans="1:16" x14ac:dyDescent="0.25">
      <c r="A24" s="44"/>
      <c r="B24" s="44"/>
      <c r="C24" s="44"/>
      <c r="D24" s="44"/>
      <c r="E24" s="44"/>
      <c r="F24" s="44"/>
      <c r="G24" s="44"/>
      <c r="H24" s="44"/>
      <c r="I24" s="44"/>
      <c r="J24" s="46"/>
      <c r="K24" s="46"/>
      <c r="L24" s="44"/>
      <c r="M24" s="46"/>
      <c r="N24" s="44"/>
      <c r="O24" s="44"/>
      <c r="P24" s="4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AB8B0-ABBA-4247-8D91-AC0246643E57}">
  <sheetPr codeName="Sheet2"/>
  <dimension ref="A1:M44"/>
  <sheetViews>
    <sheetView rightToLeft="1" view="pageBreakPreview" topLeftCell="A19" zoomScale="114" zoomScaleNormal="100" zoomScaleSheetLayoutView="115" workbookViewId="0">
      <selection activeCell="C23" sqref="C23:E23"/>
    </sheetView>
  </sheetViews>
  <sheetFormatPr defaultColWidth="0" defaultRowHeight="18.75" customHeight="1" zeroHeight="1" x14ac:dyDescent="0.25"/>
  <cols>
    <col min="1" max="1" width="5" style="6" customWidth="1"/>
    <col min="2" max="2" width="12.140625" style="6" bestFit="1" customWidth="1"/>
    <col min="3" max="3" width="10.85546875" style="6" bestFit="1" customWidth="1"/>
    <col min="4" max="4" width="9" style="6" customWidth="1"/>
    <col min="5" max="5" width="12.85546875" style="6" bestFit="1" customWidth="1"/>
    <col min="6" max="6" width="9.5703125" style="6" bestFit="1" customWidth="1"/>
    <col min="7" max="7" width="16.140625" style="18" customWidth="1"/>
    <col min="8" max="8" width="15.140625" style="6" bestFit="1" customWidth="1"/>
    <col min="9" max="9" width="6.85546875" style="6" bestFit="1" customWidth="1"/>
    <col min="10" max="12" width="9" style="6" hidden="1" customWidth="1"/>
    <col min="13" max="13" width="11.85546875" style="6" hidden="1" customWidth="1"/>
    <col min="14" max="16384" width="9" style="6" hidden="1"/>
  </cols>
  <sheetData>
    <row r="1" spans="2:9" x14ac:dyDescent="0.25">
      <c r="H1" s="22">
        <v>1</v>
      </c>
      <c r="I1" s="8" t="s">
        <v>43</v>
      </c>
    </row>
    <row r="2" spans="2:9" x14ac:dyDescent="0.25">
      <c r="H2" s="32"/>
      <c r="I2" s="8"/>
    </row>
    <row r="3" spans="2:9" x14ac:dyDescent="0.25">
      <c r="H3" s="32"/>
      <c r="I3" s="8"/>
    </row>
    <row r="4" spans="2:9" x14ac:dyDescent="0.25">
      <c r="H4" s="32"/>
      <c r="I4" s="8"/>
    </row>
    <row r="5" spans="2:9" x14ac:dyDescent="0.25">
      <c r="H5" s="32"/>
      <c r="I5" s="8"/>
    </row>
    <row r="6" spans="2:9" x14ac:dyDescent="0.25"/>
    <row r="7" spans="2:9" x14ac:dyDescent="0.25"/>
    <row r="8" spans="2:9" x14ac:dyDescent="0.25"/>
    <row r="9" spans="2:9" x14ac:dyDescent="0.25">
      <c r="E9" s="50" t="s">
        <v>186</v>
      </c>
      <c r="F9" s="50"/>
    </row>
    <row r="10" spans="2:9" x14ac:dyDescent="0.25">
      <c r="B10" s="50" t="s">
        <v>20</v>
      </c>
      <c r="C10" s="51" t="str">
        <f>_xlfn.XLOOKUP(H1,المبيعات!$A:$A,المبيعات!B:B,"غير متوفر",0)</f>
        <v>عبدالرحمن محمد بكري احمد عبدالقادر</v>
      </c>
      <c r="D10" s="52"/>
      <c r="E10" s="52"/>
      <c r="F10" s="52"/>
      <c r="G10" s="52"/>
      <c r="H10" s="52"/>
      <c r="I10" s="52"/>
    </row>
    <row r="11" spans="2:9" x14ac:dyDescent="0.25">
      <c r="B11" s="50"/>
      <c r="C11" s="52"/>
      <c r="D11" s="52"/>
      <c r="E11" s="52"/>
      <c r="F11" s="52"/>
      <c r="G11" s="52"/>
      <c r="H11" s="52"/>
      <c r="I11" s="52"/>
    </row>
    <row r="12" spans="2:9" x14ac:dyDescent="0.25">
      <c r="B12" s="7" t="s">
        <v>21</v>
      </c>
      <c r="C12" s="55">
        <f>_xlfn.XLOOKUP(H1,المبيعات!$A:$A,المبيعات!H:H,"غير متوفر",0)</f>
        <v>29402122701018</v>
      </c>
      <c r="D12" s="55"/>
      <c r="E12" s="55"/>
      <c r="F12" s="10"/>
      <c r="G12" s="6"/>
      <c r="H12" s="9"/>
      <c r="I12" s="11"/>
    </row>
    <row r="13" spans="2:9" x14ac:dyDescent="0.25">
      <c r="B13" s="7"/>
    </row>
    <row r="14" spans="2:9" x14ac:dyDescent="0.25">
      <c r="B14" s="7" t="s">
        <v>22</v>
      </c>
      <c r="C14" s="51" t="str">
        <f>_xlfn.XLOOKUP(H1,المبيعات!$A:$A,المبيعات!E:E,"غير متوفر",0)</f>
        <v>جسر السياله - مركز اسنا - الاقصر</v>
      </c>
      <c r="D14" s="51"/>
      <c r="E14" s="51"/>
      <c r="F14" s="51"/>
      <c r="G14" s="51"/>
      <c r="H14" s="51"/>
      <c r="I14" s="51"/>
    </row>
    <row r="15" spans="2:9" x14ac:dyDescent="0.25"/>
    <row r="16" spans="2:9" ht="18" customHeight="1" x14ac:dyDescent="0.25">
      <c r="B16" s="53" t="s">
        <v>55</v>
      </c>
      <c r="C16" s="53"/>
      <c r="D16" s="57">
        <v>750000</v>
      </c>
      <c r="E16" s="57"/>
      <c r="F16" s="54" t="s">
        <v>187</v>
      </c>
      <c r="G16" s="54"/>
      <c r="H16" s="54"/>
      <c r="I16" s="13"/>
    </row>
    <row r="17" spans="2:9" ht="18" customHeight="1" x14ac:dyDescent="0.25">
      <c r="B17" s="16"/>
      <c r="C17" s="16"/>
      <c r="D17" s="31"/>
      <c r="E17" s="31"/>
      <c r="F17" s="12"/>
      <c r="G17" s="12"/>
      <c r="H17" s="12"/>
      <c r="I17" s="13"/>
    </row>
    <row r="18" spans="2:9" ht="18.75" customHeight="1" x14ac:dyDescent="0.25">
      <c r="B18" s="56" t="s">
        <v>117</v>
      </c>
      <c r="C18" s="56"/>
      <c r="D18" s="56"/>
      <c r="E18" s="56"/>
      <c r="F18" s="56"/>
      <c r="G18" s="56"/>
      <c r="H18" s="56"/>
      <c r="I18" s="13"/>
    </row>
    <row r="19" spans="2:9" x14ac:dyDescent="0.25">
      <c r="B19" s="56"/>
      <c r="C19" s="56"/>
      <c r="D19" s="56"/>
      <c r="E19" s="56"/>
      <c r="F19" s="56"/>
      <c r="G19" s="56"/>
      <c r="H19" s="56"/>
      <c r="I19" s="13"/>
    </row>
    <row r="20" spans="2:9" ht="18.75" customHeight="1" x14ac:dyDescent="0.25">
      <c r="B20" s="53" t="s">
        <v>57</v>
      </c>
      <c r="C20" s="53"/>
      <c r="D20" s="54" t="str">
        <f>_xlfn.XLOOKUP(H1,المبيعات!$A:$A,المبيعات!K:K,"غير متوفر",0)</f>
        <v>Boxer BM</v>
      </c>
      <c r="E20" s="54"/>
      <c r="F20" s="54"/>
      <c r="G20" s="12" t="s">
        <v>56</v>
      </c>
      <c r="H20" s="12"/>
      <c r="I20" s="13"/>
    </row>
    <row r="21" spans="2:9" x14ac:dyDescent="0.25">
      <c r="B21" s="16"/>
      <c r="C21" s="16"/>
      <c r="D21" s="16"/>
      <c r="E21" s="30"/>
      <c r="F21" s="30"/>
      <c r="G21" s="30"/>
      <c r="H21" s="12"/>
      <c r="I21" s="13"/>
    </row>
    <row r="22" spans="2:9" x14ac:dyDescent="0.25">
      <c r="B22" s="7"/>
      <c r="C22" s="30"/>
      <c r="D22" s="30"/>
      <c r="E22" s="30"/>
      <c r="F22" s="30"/>
      <c r="G22" s="30"/>
      <c r="H22" s="30"/>
      <c r="I22" s="30"/>
    </row>
    <row r="23" spans="2:9" x14ac:dyDescent="0.25">
      <c r="B23" s="14" t="s">
        <v>23</v>
      </c>
      <c r="C23" s="58"/>
      <c r="D23" s="58"/>
      <c r="E23" s="58"/>
      <c r="F23" s="14" t="s">
        <v>24</v>
      </c>
      <c r="G23" s="58"/>
      <c r="H23" s="58"/>
      <c r="I23" s="58"/>
    </row>
    <row r="24" spans="2:9" x14ac:dyDescent="0.25"/>
    <row r="25" spans="2:9" x14ac:dyDescent="0.25">
      <c r="B25" s="61" t="s">
        <v>34</v>
      </c>
      <c r="C25" s="61"/>
      <c r="D25" s="62"/>
      <c r="E25" s="62"/>
      <c r="F25" s="62"/>
      <c r="G25" s="21"/>
    </row>
    <row r="26" spans="2:9" x14ac:dyDescent="0.25">
      <c r="B26" s="12" t="s">
        <v>58</v>
      </c>
      <c r="C26" s="63" t="s">
        <v>171</v>
      </c>
      <c r="D26" s="63"/>
      <c r="E26" s="63"/>
      <c r="F26" s="63"/>
      <c r="G26" s="63"/>
      <c r="H26" s="63"/>
      <c r="I26" s="13"/>
    </row>
    <row r="27" spans="2:9" ht="23.25" customHeight="1" x14ac:dyDescent="0.25">
      <c r="B27" s="7" t="s">
        <v>21</v>
      </c>
      <c r="C27" s="64">
        <v>29109012712252</v>
      </c>
      <c r="D27" s="64"/>
      <c r="E27" s="64"/>
      <c r="F27" s="10"/>
      <c r="G27" s="6"/>
      <c r="H27" s="12"/>
      <c r="I27" s="13"/>
    </row>
    <row r="28" spans="2:9" x14ac:dyDescent="0.25">
      <c r="B28" s="7" t="s">
        <v>22</v>
      </c>
      <c r="C28" s="63" t="s">
        <v>172</v>
      </c>
      <c r="D28" s="63"/>
      <c r="E28" s="63"/>
      <c r="F28" s="63"/>
      <c r="G28" s="63"/>
      <c r="H28" s="63"/>
      <c r="I28" s="63"/>
    </row>
    <row r="29" spans="2:9" x14ac:dyDescent="0.25">
      <c r="B29" s="14"/>
      <c r="C29" s="9"/>
    </row>
    <row r="30" spans="2:9" ht="18.75" customHeight="1" x14ac:dyDescent="0.25">
      <c r="B30" s="56" t="s">
        <v>59</v>
      </c>
      <c r="C30" s="56"/>
      <c r="D30" s="56"/>
      <c r="E30" s="56"/>
      <c r="F30" s="56"/>
      <c r="G30" s="56"/>
      <c r="H30" s="56"/>
    </row>
    <row r="31" spans="2:9" x14ac:dyDescent="0.25">
      <c r="B31" s="56"/>
      <c r="C31" s="56"/>
      <c r="D31" s="56"/>
      <c r="E31" s="56"/>
      <c r="F31" s="56"/>
      <c r="G31" s="56"/>
      <c r="H31" s="56"/>
    </row>
    <row r="32" spans="2:9" x14ac:dyDescent="0.25">
      <c r="G32" s="6"/>
    </row>
    <row r="33" spans="2:9" x14ac:dyDescent="0.25">
      <c r="B33" s="58"/>
      <c r="C33" s="58"/>
      <c r="D33" s="58"/>
      <c r="E33" s="58"/>
      <c r="G33" s="50" t="s">
        <v>25</v>
      </c>
      <c r="H33" s="50"/>
      <c r="I33" s="50"/>
    </row>
    <row r="34" spans="2:9" x14ac:dyDescent="0.25"/>
    <row r="35" spans="2:9" x14ac:dyDescent="0.25">
      <c r="B35" s="14"/>
      <c r="G35" s="20" t="s">
        <v>28</v>
      </c>
    </row>
    <row r="36" spans="2:9" x14ac:dyDescent="0.25">
      <c r="B36" s="14"/>
      <c r="G36" s="20"/>
    </row>
    <row r="37" spans="2:9" x14ac:dyDescent="0.25">
      <c r="B37" s="14"/>
      <c r="G37" s="20" t="s">
        <v>31</v>
      </c>
      <c r="H37" s="29"/>
      <c r="I37" s="29"/>
    </row>
    <row r="38" spans="2:9" x14ac:dyDescent="0.25">
      <c r="B38" s="14"/>
      <c r="G38" s="20"/>
    </row>
    <row r="39" spans="2:9" x14ac:dyDescent="0.25">
      <c r="B39" s="14"/>
      <c r="C39" s="59"/>
      <c r="D39" s="59"/>
      <c r="E39" s="59"/>
      <c r="G39" s="20" t="s">
        <v>32</v>
      </c>
      <c r="H39" s="60"/>
      <c r="I39" s="60"/>
    </row>
    <row r="40" spans="2:9" x14ac:dyDescent="0.25">
      <c r="B40" s="14"/>
    </row>
    <row r="41" spans="2:9" x14ac:dyDescent="0.25">
      <c r="H41" s="6" t="s">
        <v>50</v>
      </c>
    </row>
    <row r="42" spans="2:9" ht="18.75" customHeight="1" x14ac:dyDescent="0.25"/>
    <row r="43" spans="2:9" ht="18.75" customHeight="1" x14ac:dyDescent="0.25"/>
    <row r="44" spans="2:9" ht="18.75" customHeight="1" x14ac:dyDescent="0.25"/>
  </sheetData>
  <mergeCells count="23">
    <mergeCell ref="B33:E33"/>
    <mergeCell ref="G33:I33"/>
    <mergeCell ref="C39:E39"/>
    <mergeCell ref="H39:I39"/>
    <mergeCell ref="C23:E23"/>
    <mergeCell ref="G23:I23"/>
    <mergeCell ref="B30:H31"/>
    <mergeCell ref="B25:C25"/>
    <mergeCell ref="D25:F25"/>
    <mergeCell ref="C26:H26"/>
    <mergeCell ref="C27:E27"/>
    <mergeCell ref="C28:I28"/>
    <mergeCell ref="E9:F9"/>
    <mergeCell ref="C10:I11"/>
    <mergeCell ref="B10:B11"/>
    <mergeCell ref="B20:C20"/>
    <mergeCell ref="D20:F20"/>
    <mergeCell ref="C12:E12"/>
    <mergeCell ref="C14:I14"/>
    <mergeCell ref="B18:H19"/>
    <mergeCell ref="B16:C16"/>
    <mergeCell ref="D16:E16"/>
    <mergeCell ref="F16:H16"/>
  </mergeCells>
  <printOptions horizontalCentered="1" verticalCentered="1"/>
  <pageMargins left="0.70866141732283505" right="0.70866141732283505" top="0.74803149606299202" bottom="0.74803149606299202" header="0.31496062992126" footer="0.31496062992126"/>
  <pageSetup paperSize="9" scale="80" orientation="portrait" r:id="rId1"/>
  <headerFooter>
    <oddHeader xml:space="preserve">&amp;L&amp;G&amp;R&amp;"Traditional Arabic,Bold"&amp;14
جنوب الصعيد لوسائل النقل الخفيف 
South Upper Egypt for Light Vehicles
سجل تجاري : 51439 
بطاقة ضربية : 371-154-529 
</oddHeader>
    <oddFooter>&amp;R&amp;T  &amp;D</oddFooter>
  </headerFooter>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454C4-B7BE-469C-8F7F-680C69CC44B8}">
  <sheetPr codeName="Sheet3"/>
  <dimension ref="B1:I39"/>
  <sheetViews>
    <sheetView rightToLeft="1" view="pageBreakPreview" topLeftCell="A19" zoomScaleNormal="100" zoomScaleSheetLayoutView="100" workbookViewId="0">
      <selection activeCell="C32" sqref="C32"/>
    </sheetView>
  </sheetViews>
  <sheetFormatPr defaultColWidth="9" defaultRowHeight="18.75" zeroHeight="1" x14ac:dyDescent="0.25"/>
  <cols>
    <col min="1" max="1" width="5" style="6" customWidth="1"/>
    <col min="2" max="2" width="9" style="6" customWidth="1"/>
    <col min="3" max="3" width="10.85546875" style="6" bestFit="1" customWidth="1"/>
    <col min="4" max="4" width="9" style="6" customWidth="1"/>
    <col min="5" max="5" width="12.85546875" style="6" bestFit="1" customWidth="1"/>
    <col min="6" max="6" width="9" style="6" customWidth="1"/>
    <col min="7" max="7" width="20.28515625" style="18" customWidth="1"/>
    <col min="8" max="8" width="15.140625" style="6" bestFit="1" customWidth="1"/>
    <col min="9" max="9" width="6.85546875" style="6" customWidth="1"/>
    <col min="10" max="12" width="9" style="6" customWidth="1"/>
    <col min="13" max="13" width="11.85546875" style="6" customWidth="1"/>
    <col min="14" max="16383" width="9" style="6" customWidth="1"/>
    <col min="16384" max="16384" width="3.42578125" style="6" customWidth="1"/>
  </cols>
  <sheetData>
    <row r="1" spans="2:9" x14ac:dyDescent="0.25">
      <c r="H1" s="22">
        <v>8</v>
      </c>
      <c r="I1" s="8" t="s">
        <v>43</v>
      </c>
    </row>
    <row r="2" spans="2:9" x14ac:dyDescent="0.25"/>
    <row r="3" spans="2:9" x14ac:dyDescent="0.25"/>
    <row r="4" spans="2:9" x14ac:dyDescent="0.25"/>
    <row r="5" spans="2:9" x14ac:dyDescent="0.25"/>
    <row r="6" spans="2:9" x14ac:dyDescent="0.25"/>
    <row r="7" spans="2:9" ht="16.899999999999999" customHeight="1" x14ac:dyDescent="0.25"/>
    <row r="8" spans="2:9" x14ac:dyDescent="0.25"/>
    <row r="9" spans="2:9" x14ac:dyDescent="0.25">
      <c r="E9" s="50" t="s">
        <v>19</v>
      </c>
      <c r="F9" s="50"/>
    </row>
    <row r="10" spans="2:9" x14ac:dyDescent="0.25"/>
    <row r="11" spans="2:9" x14ac:dyDescent="0.25">
      <c r="B11" s="50" t="s">
        <v>20</v>
      </c>
      <c r="C11" s="63" t="str">
        <f>_xlfn.XLOOKUP(H1,المبيعات!$A:$A,المبيعات!B:B,"غير متوفر",0)</f>
        <v>غير متوفر</v>
      </c>
      <c r="D11" s="58"/>
      <c r="E11" s="58"/>
      <c r="F11" s="58"/>
      <c r="G11" s="58"/>
      <c r="H11" s="58"/>
      <c r="I11" s="58"/>
    </row>
    <row r="12" spans="2:9" x14ac:dyDescent="0.25">
      <c r="B12" s="50"/>
      <c r="C12" s="58"/>
      <c r="D12" s="58"/>
      <c r="E12" s="58"/>
      <c r="F12" s="58"/>
      <c r="G12" s="58"/>
      <c r="H12" s="58"/>
      <c r="I12" s="58"/>
    </row>
    <row r="13" spans="2:9" x14ac:dyDescent="0.25">
      <c r="B13" s="7" t="s">
        <v>21</v>
      </c>
      <c r="C13" s="64" t="str">
        <f>_xlfn.XLOOKUP(H1,المبيعات!$A:$A,المبيعات!H:H,"غير متوفر",0)</f>
        <v>غير متوفر</v>
      </c>
      <c r="D13" s="64"/>
      <c r="E13" s="64"/>
      <c r="F13" s="10" t="s">
        <v>33</v>
      </c>
      <c r="G13" s="6" t="str">
        <f>_xlfn.XLOOKUP(H1,المبيعات!$A:$A,المبيعات!J:J,"غير متوفر",0)</f>
        <v>غير متوفر</v>
      </c>
      <c r="H13" s="9"/>
      <c r="I13" s="11"/>
    </row>
    <row r="14" spans="2:9" x14ac:dyDescent="0.25">
      <c r="B14" s="7"/>
    </row>
    <row r="15" spans="2:9" x14ac:dyDescent="0.25">
      <c r="B15" s="7" t="s">
        <v>22</v>
      </c>
      <c r="C15" s="63" t="str">
        <f>_xlfn.XLOOKUP(H1,المبيعات!$A:$A,المبيعات!E:E,"غير متوفر",0)</f>
        <v>غير متوفر</v>
      </c>
      <c r="D15" s="63"/>
      <c r="E15" s="63"/>
      <c r="F15" s="63"/>
      <c r="G15" s="63"/>
      <c r="H15" s="63"/>
      <c r="I15" s="63"/>
    </row>
    <row r="16" spans="2:9" x14ac:dyDescent="0.25"/>
    <row r="17" spans="2:9" ht="18" customHeight="1" x14ac:dyDescent="0.25">
      <c r="B17" s="56" t="s">
        <v>115</v>
      </c>
      <c r="C17" s="56"/>
      <c r="D17" s="56"/>
      <c r="E17" s="56"/>
      <c r="F17" s="56"/>
      <c r="G17" s="56"/>
      <c r="H17" s="56"/>
      <c r="I17" s="13"/>
    </row>
    <row r="18" spans="2:9" x14ac:dyDescent="0.25">
      <c r="B18" s="56"/>
      <c r="C18" s="56"/>
      <c r="D18" s="56"/>
      <c r="E18" s="56"/>
      <c r="F18" s="56"/>
      <c r="G18" s="56"/>
      <c r="H18" s="56"/>
      <c r="I18" s="13"/>
    </row>
    <row r="19" spans="2:9" x14ac:dyDescent="0.25">
      <c r="B19" s="12"/>
      <c r="C19" s="12"/>
      <c r="D19" s="12"/>
      <c r="E19" s="12"/>
      <c r="F19" s="12"/>
      <c r="G19" s="19"/>
      <c r="H19" s="12"/>
      <c r="I19" s="13"/>
    </row>
    <row r="20" spans="2:9" ht="23.25" customHeight="1" x14ac:dyDescent="0.25">
      <c r="B20" s="16" t="s">
        <v>41</v>
      </c>
      <c r="C20" s="8" t="str">
        <f>_xlfn.XLOOKUP(H1,المبيعات!$A:$A,المبيعات!K:K,"غير متوفر",0)</f>
        <v>غير متوفر</v>
      </c>
      <c r="D20" s="12"/>
      <c r="E20" s="12" t="s">
        <v>42</v>
      </c>
      <c r="F20" s="16" t="str">
        <f>_xlfn.XLOOKUP(H1,المبيعات!$A:$A,المبيعات!N:N,"غير متوفر",0)</f>
        <v>غير متوفر</v>
      </c>
      <c r="G20" s="16" t="s">
        <v>60</v>
      </c>
      <c r="H20" s="34" t="str">
        <f>_xlfn.XLOOKUP(H1,المبيعات!$A:$A,المبيعات!O:O,"غير متوفر",0)</f>
        <v>غير متوفر</v>
      </c>
      <c r="I20" s="13"/>
    </row>
    <row r="21" spans="2:9" x14ac:dyDescent="0.25">
      <c r="B21" s="12"/>
      <c r="C21" s="12"/>
      <c r="D21" s="12"/>
      <c r="E21" s="12"/>
      <c r="F21" s="12"/>
      <c r="G21" s="19"/>
      <c r="H21" s="12"/>
      <c r="I21" s="13"/>
    </row>
    <row r="22" spans="2:9" x14ac:dyDescent="0.25">
      <c r="B22" s="14" t="s">
        <v>23</v>
      </c>
      <c r="C22" s="58" t="str">
        <f>_xlfn.XLOOKUP(H1,المبيعات!$A:$A,المبيعات!L:L,"غير متوفر",0)</f>
        <v>غير متوفر</v>
      </c>
      <c r="D22" s="58"/>
      <c r="E22" s="58"/>
      <c r="F22" s="14" t="s">
        <v>24</v>
      </c>
      <c r="G22" s="58" t="str">
        <f>_xlfn.XLOOKUP(H1,المبيعات!$A:$A,المبيعات!M:M,"غير متوفر",0)</f>
        <v>غير متوفر</v>
      </c>
      <c r="H22" s="58"/>
      <c r="I22" s="58"/>
    </row>
    <row r="23" spans="2:9" x14ac:dyDescent="0.25"/>
    <row r="24" spans="2:9" x14ac:dyDescent="0.25">
      <c r="B24" s="14" t="s">
        <v>35</v>
      </c>
      <c r="C24" s="58" t="str">
        <f>_xlfn.XLOOKUP(H1,المبيعات!$A:$A,المبيعات!V:V,"غير متوفر",0)</f>
        <v>غير متوفر</v>
      </c>
      <c r="D24" s="58"/>
      <c r="E24" s="61" t="s">
        <v>34</v>
      </c>
      <c r="F24" s="61"/>
      <c r="G24" s="21" t="str">
        <f>_xlfn.XLOOKUP(H1,المبيعات!$A:$A,المبيعات!P:P,"غير متوفر",0)</f>
        <v>غير متوفر</v>
      </c>
    </row>
    <row r="25" spans="2:9" x14ac:dyDescent="0.25">
      <c r="B25" s="14"/>
      <c r="C25" s="9"/>
    </row>
    <row r="26" spans="2:9" x14ac:dyDescent="0.25">
      <c r="B26" s="63" t="s">
        <v>36</v>
      </c>
      <c r="C26" s="58"/>
      <c r="D26" s="58"/>
      <c r="E26" s="58"/>
      <c r="F26" s="58"/>
      <c r="G26" s="58"/>
      <c r="H26" s="58"/>
      <c r="I26" s="58"/>
    </row>
    <row r="27" spans="2:9" x14ac:dyDescent="0.25">
      <c r="B27" s="58"/>
      <c r="C27" s="58"/>
      <c r="D27" s="58"/>
      <c r="E27" s="58"/>
      <c r="F27" s="58"/>
      <c r="G27" s="58"/>
      <c r="H27" s="58"/>
      <c r="I27" s="58"/>
    </row>
    <row r="28" spans="2:9" x14ac:dyDescent="0.25">
      <c r="B28" s="58"/>
      <c r="C28" s="58"/>
      <c r="D28" s="58"/>
      <c r="E28" s="58"/>
      <c r="F28" s="58"/>
      <c r="G28" s="58"/>
      <c r="H28" s="58"/>
      <c r="I28" s="58"/>
    </row>
    <row r="29" spans="2:9" x14ac:dyDescent="0.25"/>
    <row r="30" spans="2:9" x14ac:dyDescent="0.25">
      <c r="B30" s="58" t="s">
        <v>26</v>
      </c>
      <c r="C30" s="58"/>
      <c r="D30" s="58"/>
      <c r="E30" s="58"/>
      <c r="G30" s="50" t="s">
        <v>25</v>
      </c>
      <c r="H30" s="50"/>
      <c r="I30" s="50"/>
    </row>
    <row r="31" spans="2:9" x14ac:dyDescent="0.25"/>
    <row r="32" spans="2:9" x14ac:dyDescent="0.25">
      <c r="B32" s="14" t="s">
        <v>37</v>
      </c>
      <c r="C32" s="6" t="s">
        <v>27</v>
      </c>
      <c r="G32" s="20" t="s">
        <v>28</v>
      </c>
    </row>
    <row r="33" spans="2:9" x14ac:dyDescent="0.25">
      <c r="B33" s="14"/>
      <c r="G33" s="20"/>
    </row>
    <row r="34" spans="2:9" x14ac:dyDescent="0.25">
      <c r="B34" s="14"/>
      <c r="G34" s="20" t="s">
        <v>31</v>
      </c>
      <c r="H34" s="29">
        <f ca="1">TODAY()</f>
        <v>46303</v>
      </c>
      <c r="I34" s="29"/>
    </row>
    <row r="35" spans="2:9" x14ac:dyDescent="0.25">
      <c r="B35" s="14"/>
      <c r="G35" s="20"/>
    </row>
    <row r="36" spans="2:9" x14ac:dyDescent="0.25">
      <c r="B36" s="14"/>
      <c r="G36" s="20" t="s">
        <v>32</v>
      </c>
      <c r="H36" s="58" t="str">
        <f>_xlfn.XLOOKUP(H1,المبيعات!$A:$A,المبيعات!F:F,"غير متوفر",0)</f>
        <v>غير متوفر</v>
      </c>
      <c r="I36" s="58"/>
    </row>
    <row r="37" spans="2:9" x14ac:dyDescent="0.25">
      <c r="B37" s="14"/>
    </row>
    <row r="38" spans="2:9" x14ac:dyDescent="0.25">
      <c r="H38" s="6" t="s">
        <v>50</v>
      </c>
    </row>
    <row r="39" spans="2:9" x14ac:dyDescent="0.25"/>
  </sheetData>
  <sheetProtection algorithmName="SHA-512" hashValue="xzYHdobefc04ulJG3r2PLtTAtDUL4CWxc0MgvHatZFSJn6IcwUJ5nZyYzRQiYpt4IkQi3d0VvpjjwnTVhRjoQA==" saltValue="EUx/L3sCbc9Od1bFR/0EXg==" spinCount="100000" sheet="1" objects="1" scenarios="1"/>
  <mergeCells count="14">
    <mergeCell ref="E9:F9"/>
    <mergeCell ref="H36:I36"/>
    <mergeCell ref="C22:E22"/>
    <mergeCell ref="G22:I22"/>
    <mergeCell ref="E24:F24"/>
    <mergeCell ref="B11:B12"/>
    <mergeCell ref="C11:I12"/>
    <mergeCell ref="C15:I15"/>
    <mergeCell ref="B30:E30"/>
    <mergeCell ref="B26:I28"/>
    <mergeCell ref="G30:I30"/>
    <mergeCell ref="B17:H18"/>
    <mergeCell ref="C13:E13"/>
    <mergeCell ref="C24:D24"/>
  </mergeCells>
  <pageMargins left="0.70866141732283472" right="0.70866141732283472" top="1.299212598425197" bottom="0.74803149606299213" header="0.31496062992125984" footer="0.31496062992125984"/>
  <pageSetup paperSize="9" scale="75" orientation="portrait" r:id="rId1"/>
  <headerFooter>
    <oddHeader xml:space="preserve">&amp;L&amp;G&amp;R
جنوب الصعيد لوسائل النقل الخفيف 
South Upper Egypt for Light Vehicles
سجل تجاري : 51439 
بطاقة ضربية : 371-154-529 
</oddHeader>
    <oddFooter>&amp;R&amp;T  &amp;D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طباعة_اقرار_استلام">
                <anchor moveWithCells="1" sizeWithCells="1">
                  <from>
                    <xdr:col>9</xdr:col>
                    <xdr:colOff>161925</xdr:colOff>
                    <xdr:row>0</xdr:row>
                    <xdr:rowOff>66675</xdr:rowOff>
                  </from>
                  <to>
                    <xdr:col>10</xdr:col>
                    <xdr:colOff>447675</xdr:colOff>
                    <xdr:row>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9A64A-83A2-4A96-8E84-5F94CEBF0974}">
  <sheetPr codeName="Sheet8"/>
  <dimension ref="A1:K76"/>
  <sheetViews>
    <sheetView rightToLeft="1" view="pageBreakPreview" topLeftCell="A10" zoomScaleNormal="100" zoomScaleSheetLayoutView="100" workbookViewId="0">
      <selection activeCell="E23" sqref="E23"/>
    </sheetView>
  </sheetViews>
  <sheetFormatPr defaultColWidth="0" defaultRowHeight="18.75" customHeight="1" zeroHeight="1" x14ac:dyDescent="0.25"/>
  <cols>
    <col min="1" max="1" width="5" style="6" customWidth="1"/>
    <col min="2" max="2" width="12.140625" style="6" bestFit="1" customWidth="1"/>
    <col min="3" max="3" width="16.85546875" style="6" customWidth="1"/>
    <col min="4" max="4" width="9.5703125" style="6" bestFit="1" customWidth="1"/>
    <col min="5" max="5" width="12.85546875" style="6" bestFit="1" customWidth="1"/>
    <col min="6" max="6" width="10.28515625" style="6" bestFit="1" customWidth="1"/>
    <col min="7" max="7" width="10.7109375" style="18" bestFit="1" customWidth="1"/>
    <col min="8" max="8" width="17.140625" style="6" bestFit="1" customWidth="1"/>
    <col min="9" max="9" width="13.140625" style="6" customWidth="1"/>
    <col min="10" max="10" width="28.5703125" style="6" customWidth="1"/>
    <col min="11" max="11" width="0" style="6" hidden="1" customWidth="1"/>
    <col min="12" max="16384" width="28.5703125" style="6" hidden="1"/>
  </cols>
  <sheetData>
    <row r="1" spans="2:9" x14ac:dyDescent="0.25">
      <c r="H1" s="22">
        <v>73</v>
      </c>
      <c r="I1" s="8" t="s">
        <v>43</v>
      </c>
    </row>
    <row r="2" spans="2:9" x14ac:dyDescent="0.25">
      <c r="E2" s="50" t="s">
        <v>19</v>
      </c>
      <c r="F2" s="50"/>
    </row>
    <row r="3" spans="2:9" x14ac:dyDescent="0.25"/>
    <row r="4" spans="2:9" ht="30" customHeight="1" x14ac:dyDescent="0.25">
      <c r="B4" s="14" t="s">
        <v>20</v>
      </c>
      <c r="C4" s="63" t="s">
        <v>183</v>
      </c>
      <c r="D4" s="63"/>
      <c r="E4" s="63"/>
      <c r="F4" s="63"/>
      <c r="G4" s="63"/>
      <c r="H4" s="63"/>
      <c r="I4" s="8"/>
    </row>
    <row r="5" spans="2:9" ht="30" customHeight="1" x14ac:dyDescent="0.25">
      <c r="B5" s="14" t="s">
        <v>21</v>
      </c>
      <c r="C5" s="64">
        <v>28311263100094</v>
      </c>
      <c r="D5" s="64"/>
      <c r="E5" s="64"/>
      <c r="F5" s="9"/>
      <c r="G5" s="8"/>
      <c r="H5" s="9"/>
      <c r="I5" s="9"/>
    </row>
    <row r="6" spans="2:9" ht="28.5" customHeight="1" x14ac:dyDescent="0.25">
      <c r="B6" s="14" t="s">
        <v>22</v>
      </c>
      <c r="C6" s="66" t="s">
        <v>184</v>
      </c>
      <c r="D6" s="66"/>
      <c r="E6" s="66"/>
      <c r="F6" s="66"/>
      <c r="G6" s="66"/>
      <c r="H6" s="66"/>
      <c r="I6" s="66"/>
    </row>
    <row r="7" spans="2:9" ht="48" customHeight="1" x14ac:dyDescent="0.25">
      <c r="B7" s="56" t="s">
        <v>113</v>
      </c>
      <c r="C7" s="56"/>
      <c r="D7" s="56"/>
      <c r="E7" s="56"/>
      <c r="F7" s="56"/>
      <c r="G7" s="56"/>
      <c r="H7" s="56"/>
      <c r="I7" s="13"/>
    </row>
    <row r="8" spans="2:9" ht="30" customHeight="1" x14ac:dyDescent="0.25">
      <c r="B8" s="53"/>
      <c r="C8" s="53"/>
      <c r="D8" s="53"/>
      <c r="E8" s="53"/>
      <c r="F8" s="53"/>
      <c r="G8" s="63"/>
      <c r="H8" s="63"/>
      <c r="I8" s="13"/>
    </row>
    <row r="9" spans="2:9" ht="30" customHeight="1" x14ac:dyDescent="0.25">
      <c r="B9" s="16" t="s">
        <v>41</v>
      </c>
      <c r="C9" s="8" t="s">
        <v>174</v>
      </c>
      <c r="D9" s="12" t="s">
        <v>42</v>
      </c>
      <c r="E9" s="16">
        <v>2026</v>
      </c>
      <c r="F9" s="33" t="s">
        <v>61</v>
      </c>
      <c r="G9" s="63" t="s">
        <v>140</v>
      </c>
      <c r="H9" s="63"/>
      <c r="I9" s="13"/>
    </row>
    <row r="10" spans="2:9" ht="30" customHeight="1" x14ac:dyDescent="0.25">
      <c r="B10" s="14" t="s">
        <v>23</v>
      </c>
      <c r="C10" s="58">
        <v>252400</v>
      </c>
      <c r="D10" s="58"/>
      <c r="E10" s="58"/>
      <c r="F10" s="14" t="s">
        <v>24</v>
      </c>
      <c r="G10" s="58">
        <v>80002</v>
      </c>
      <c r="H10" s="58"/>
      <c r="I10" s="58"/>
    </row>
    <row r="11" spans="2:9" ht="30" customHeight="1" x14ac:dyDescent="0.25">
      <c r="B11" s="16" t="s">
        <v>41</v>
      </c>
      <c r="C11" s="8" t="s">
        <v>174</v>
      </c>
      <c r="D11" s="12" t="s">
        <v>42</v>
      </c>
      <c r="E11" s="16">
        <v>2026</v>
      </c>
      <c r="F11" s="33" t="s">
        <v>61</v>
      </c>
      <c r="G11" s="63" t="s">
        <v>164</v>
      </c>
      <c r="H11" s="63"/>
      <c r="I11" s="13"/>
    </row>
    <row r="12" spans="2:9" ht="30" customHeight="1" x14ac:dyDescent="0.25">
      <c r="B12" s="14" t="s">
        <v>23</v>
      </c>
      <c r="C12" s="58">
        <v>247147</v>
      </c>
      <c r="D12" s="58"/>
      <c r="E12" s="58"/>
      <c r="F12" s="14" t="s">
        <v>24</v>
      </c>
      <c r="G12" s="58">
        <v>53399</v>
      </c>
      <c r="H12" s="58"/>
      <c r="I12" s="58"/>
    </row>
    <row r="13" spans="2:9" ht="30" customHeight="1" x14ac:dyDescent="0.25">
      <c r="B13" s="16" t="s">
        <v>41</v>
      </c>
      <c r="C13" s="8" t="s">
        <v>175</v>
      </c>
      <c r="D13" s="12"/>
      <c r="E13" s="16"/>
      <c r="F13" s="33" t="s">
        <v>61</v>
      </c>
      <c r="G13" s="63" t="s">
        <v>176</v>
      </c>
      <c r="H13" s="63"/>
      <c r="I13" s="13"/>
    </row>
    <row r="14" spans="2:9" ht="30" customHeight="1" x14ac:dyDescent="0.25">
      <c r="B14" s="14" t="s">
        <v>23</v>
      </c>
      <c r="C14" s="60" t="s">
        <v>177</v>
      </c>
      <c r="D14" s="60"/>
      <c r="E14" s="60"/>
      <c r="F14" s="14" t="s">
        <v>24</v>
      </c>
      <c r="G14" s="60" t="s">
        <v>178</v>
      </c>
      <c r="H14" s="60"/>
      <c r="I14" s="60"/>
    </row>
    <row r="15" spans="2:9" ht="30" customHeight="1" x14ac:dyDescent="0.25">
      <c r="B15" s="16" t="s">
        <v>41</v>
      </c>
      <c r="C15" s="8" t="s">
        <v>179</v>
      </c>
      <c r="D15" s="12"/>
      <c r="E15" s="16"/>
      <c r="F15" s="33" t="s">
        <v>61</v>
      </c>
      <c r="G15" s="63" t="s">
        <v>180</v>
      </c>
      <c r="H15" s="63"/>
      <c r="I15" s="13"/>
    </row>
    <row r="16" spans="2:9" ht="30" customHeight="1" x14ac:dyDescent="0.25">
      <c r="B16" s="14" t="s">
        <v>23</v>
      </c>
      <c r="C16" s="60" t="s">
        <v>181</v>
      </c>
      <c r="D16" s="60"/>
      <c r="E16" s="60"/>
      <c r="F16" s="14" t="s">
        <v>24</v>
      </c>
      <c r="G16" s="60" t="s">
        <v>182</v>
      </c>
      <c r="H16" s="60"/>
      <c r="I16" s="60"/>
    </row>
    <row r="17" spans="2:9" ht="30" customHeight="1" x14ac:dyDescent="0.25">
      <c r="B17" s="14"/>
      <c r="C17" s="8"/>
      <c r="D17" s="8"/>
      <c r="E17" s="8"/>
      <c r="F17" s="14"/>
      <c r="G17" s="8"/>
      <c r="H17" s="8"/>
      <c r="I17" s="8"/>
    </row>
    <row r="18" spans="2:9" ht="30" customHeight="1" x14ac:dyDescent="0.25">
      <c r="B18" s="61" t="s">
        <v>34</v>
      </c>
      <c r="C18" s="61"/>
      <c r="D18" s="65" t="str">
        <f>_xlfn.XLOOKUP(H1,المبيعات!$A:$A,المبيعات!P:P,"غير متوفر",0)</f>
        <v>غير متوفر</v>
      </c>
      <c r="E18" s="65"/>
      <c r="F18" s="65"/>
      <c r="G18" s="21"/>
    </row>
    <row r="19" spans="2:9" ht="30" customHeight="1" x14ac:dyDescent="0.25">
      <c r="B19" s="58" t="s">
        <v>114</v>
      </c>
      <c r="C19" s="58"/>
      <c r="D19" s="58"/>
      <c r="E19" s="58"/>
      <c r="F19" s="58"/>
      <c r="G19" s="58"/>
      <c r="H19" s="58"/>
    </row>
    <row r="20" spans="2:9" ht="30" customHeight="1" x14ac:dyDescent="0.25">
      <c r="B20" s="63"/>
      <c r="C20" s="63"/>
      <c r="D20" s="63"/>
      <c r="E20" s="63"/>
      <c r="F20" s="63"/>
      <c r="G20" s="63"/>
      <c r="H20" s="63"/>
      <c r="I20" s="63"/>
    </row>
    <row r="21" spans="2:9" x14ac:dyDescent="0.25">
      <c r="B21" s="58"/>
      <c r="C21" s="58"/>
      <c r="D21" s="58"/>
      <c r="E21" s="58"/>
      <c r="G21" s="50"/>
      <c r="H21" s="50"/>
      <c r="I21" s="50"/>
    </row>
    <row r="22" spans="2:9" x14ac:dyDescent="0.25">
      <c r="B22" s="58"/>
      <c r="C22" s="58"/>
      <c r="D22" s="58"/>
      <c r="E22" s="58"/>
      <c r="G22" s="50" t="s">
        <v>25</v>
      </c>
      <c r="H22" s="50"/>
      <c r="I22" s="50"/>
    </row>
    <row r="23" spans="2:9" x14ac:dyDescent="0.25">
      <c r="B23" s="8"/>
      <c r="C23" s="8"/>
      <c r="D23" s="8"/>
      <c r="E23" s="8"/>
      <c r="G23" s="7"/>
      <c r="H23" s="7"/>
      <c r="I23" s="7"/>
    </row>
    <row r="24" spans="2:9" x14ac:dyDescent="0.25">
      <c r="B24" s="14" t="s">
        <v>37</v>
      </c>
      <c r="C24" s="6" t="s">
        <v>185</v>
      </c>
      <c r="D24" s="8"/>
      <c r="E24" s="8"/>
      <c r="G24" s="20" t="s">
        <v>28</v>
      </c>
    </row>
    <row r="25" spans="2:9" x14ac:dyDescent="0.25">
      <c r="B25" s="14"/>
      <c r="G25" s="20"/>
    </row>
    <row r="26" spans="2:9" x14ac:dyDescent="0.25">
      <c r="B26" s="14"/>
      <c r="C26" s="59"/>
      <c r="D26" s="59"/>
      <c r="E26" s="59"/>
      <c r="G26" s="20" t="s">
        <v>31</v>
      </c>
      <c r="H26" s="65" t="str">
        <f>_xlfn.XLOOKUP(H1,المبيعات!$A:$A,المبيعات!P:P,"غير متوفر",0)</f>
        <v>غير متوفر</v>
      </c>
      <c r="I26" s="65"/>
    </row>
    <row r="27" spans="2:9" x14ac:dyDescent="0.25">
      <c r="B27" s="14"/>
      <c r="G27" s="20"/>
    </row>
    <row r="28" spans="2:9" x14ac:dyDescent="0.25">
      <c r="B28" s="14"/>
      <c r="G28" s="35" t="s">
        <v>32</v>
      </c>
      <c r="H28" s="26" t="s">
        <v>173</v>
      </c>
    </row>
    <row r="29" spans="2:9" x14ac:dyDescent="0.25">
      <c r="B29" s="14"/>
      <c r="G29" s="20"/>
    </row>
    <row r="30" spans="2:9" x14ac:dyDescent="0.25">
      <c r="G30" s="20"/>
      <c r="H30" s="28" t="s">
        <v>50</v>
      </c>
      <c r="I30" s="27"/>
    </row>
    <row r="31" spans="2:9" hidden="1" x14ac:dyDescent="0.25">
      <c r="G31" s="20"/>
      <c r="H31" s="26"/>
      <c r="I31" s="26"/>
    </row>
    <row r="32" spans="2:9" x14ac:dyDescent="0.25">
      <c r="G32" s="20"/>
      <c r="H32" s="26"/>
      <c r="I32" s="26"/>
    </row>
    <row r="33" spans="1:9" hidden="1" x14ac:dyDescent="0.25">
      <c r="G33" s="20"/>
      <c r="H33" s="26"/>
      <c r="I33" s="26"/>
    </row>
    <row r="34" spans="1:9" hidden="1" x14ac:dyDescent="0.25">
      <c r="H34" s="10"/>
      <c r="I34" s="8"/>
    </row>
    <row r="35" spans="1:9" ht="18.75" customHeight="1" x14ac:dyDescent="0.25"/>
    <row r="36" spans="1:9" ht="18.75" customHeight="1" x14ac:dyDescent="0.25"/>
    <row r="37" spans="1:9" ht="18.75" customHeight="1" x14ac:dyDescent="0.25"/>
    <row r="38" spans="1:9" ht="18.75" customHeight="1" x14ac:dyDescent="0.25"/>
    <row r="39" spans="1:9" ht="21" hidden="1" customHeight="1" x14ac:dyDescent="0.25">
      <c r="E39" s="50"/>
      <c r="F39" s="50"/>
    </row>
    <row r="41" spans="1:9" ht="21" hidden="1" customHeight="1" x14ac:dyDescent="0.25">
      <c r="B41" s="14"/>
      <c r="C41" s="63"/>
      <c r="D41" s="63"/>
      <c r="E41" s="63"/>
      <c r="F41" s="63"/>
      <c r="G41" s="63"/>
      <c r="H41" s="63"/>
      <c r="I41" s="8"/>
    </row>
    <row r="42" spans="1:9" ht="21" hidden="1" customHeight="1" x14ac:dyDescent="0.25">
      <c r="B42" s="14"/>
      <c r="C42" s="64"/>
      <c r="D42" s="64"/>
      <c r="E42" s="64"/>
      <c r="F42" s="9"/>
      <c r="G42" s="8"/>
      <c r="H42" s="9"/>
      <c r="I42" s="9"/>
    </row>
    <row r="43" spans="1:9" ht="21" hidden="1" customHeight="1" x14ac:dyDescent="0.25">
      <c r="B43" s="14"/>
      <c r="C43" s="63"/>
      <c r="D43" s="63"/>
      <c r="E43" s="63"/>
      <c r="F43" s="63"/>
      <c r="G43" s="63"/>
      <c r="H43" s="63"/>
      <c r="I43" s="63"/>
    </row>
    <row r="44" spans="1:9" ht="21" hidden="1" customHeight="1" x14ac:dyDescent="0.25">
      <c r="B44" s="16"/>
      <c r="C44" s="8"/>
      <c r="D44" s="12"/>
      <c r="E44" s="12"/>
      <c r="F44" s="12"/>
      <c r="G44" s="16"/>
      <c r="H44" s="12"/>
      <c r="I44" s="13"/>
    </row>
    <row r="45" spans="1:9" hidden="1" x14ac:dyDescent="0.25">
      <c r="B45" s="14"/>
      <c r="C45" s="58"/>
      <c r="D45" s="58"/>
      <c r="E45" s="58"/>
      <c r="F45" s="14"/>
      <c r="G45" s="58"/>
      <c r="H45" s="58"/>
      <c r="I45" s="58"/>
    </row>
    <row r="46" spans="1:9" hidden="1" x14ac:dyDescent="0.25">
      <c r="B46" s="58"/>
      <c r="C46" s="58"/>
      <c r="D46" s="58"/>
      <c r="E46" s="58"/>
      <c r="F46" s="58"/>
      <c r="G46" s="58"/>
      <c r="H46" s="58"/>
    </row>
    <row r="47" spans="1:9" ht="18.75" customHeight="1" x14ac:dyDescent="0.25"/>
    <row r="48" spans="1:9" hidden="1" x14ac:dyDescent="0.25">
      <c r="A48" s="13"/>
      <c r="B48" s="14"/>
      <c r="C48" s="63"/>
      <c r="D48" s="63"/>
      <c r="E48" s="63"/>
      <c r="F48" s="63"/>
      <c r="G48" s="63"/>
      <c r="H48" s="63"/>
      <c r="I48" s="8"/>
    </row>
    <row r="49" spans="2:9" hidden="1" x14ac:dyDescent="0.25">
      <c r="B49" s="14"/>
      <c r="C49" s="64"/>
      <c r="D49" s="64"/>
      <c r="E49" s="64"/>
      <c r="F49" s="9"/>
      <c r="G49" s="8"/>
      <c r="H49" s="9"/>
      <c r="I49" s="9"/>
    </row>
    <row r="50" spans="2:9" hidden="1" x14ac:dyDescent="0.25">
      <c r="B50" s="14"/>
      <c r="C50" s="63"/>
      <c r="D50" s="63"/>
      <c r="E50" s="63"/>
      <c r="F50" s="63"/>
      <c r="G50" s="63"/>
      <c r="H50" s="63"/>
      <c r="I50" s="63"/>
    </row>
    <row r="51" spans="2:9" hidden="1" x14ac:dyDescent="0.25">
      <c r="B51" s="16"/>
      <c r="C51" s="8"/>
      <c r="D51" s="12"/>
      <c r="E51" s="12"/>
      <c r="F51" s="12"/>
      <c r="G51" s="16"/>
      <c r="H51" s="12"/>
      <c r="I51" s="13"/>
    </row>
    <row r="52" spans="2:9" hidden="1" x14ac:dyDescent="0.25">
      <c r="B52" s="14"/>
      <c r="D52" s="8"/>
      <c r="E52" s="8"/>
      <c r="G52" s="20"/>
    </row>
    <row r="53" spans="2:9" hidden="1" x14ac:dyDescent="0.25">
      <c r="B53" s="14"/>
      <c r="G53" s="20"/>
    </row>
    <row r="54" spans="2:9" hidden="1" x14ac:dyDescent="0.25">
      <c r="B54" s="14"/>
      <c r="C54" s="59"/>
      <c r="D54" s="59"/>
      <c r="E54" s="59"/>
      <c r="G54" s="20"/>
      <c r="H54" s="65"/>
      <c r="I54" s="65"/>
    </row>
    <row r="55" spans="2:9" ht="18.75" customHeight="1" x14ac:dyDescent="0.25"/>
    <row r="56" spans="2:9" ht="18.75" customHeight="1" x14ac:dyDescent="0.25"/>
    <row r="57" spans="2:9" ht="18.75" customHeight="1" x14ac:dyDescent="0.25"/>
    <row r="58" spans="2:9" ht="18.75" customHeight="1" x14ac:dyDescent="0.25"/>
    <row r="59" spans="2:9" ht="18.75" customHeight="1" x14ac:dyDescent="0.25"/>
    <row r="60" spans="2:9" ht="18.75" customHeight="1" x14ac:dyDescent="0.25"/>
    <row r="61" spans="2:9" ht="18.75" customHeight="1" x14ac:dyDescent="0.25"/>
    <row r="62" spans="2:9" ht="18.75" customHeight="1" x14ac:dyDescent="0.25"/>
    <row r="63" spans="2:9" ht="18.75" customHeight="1" x14ac:dyDescent="0.25"/>
    <row r="64" spans="2:9" ht="18.75" customHeight="1" x14ac:dyDescent="0.25"/>
    <row r="65" ht="18.75" customHeight="1" x14ac:dyDescent="0.25"/>
    <row r="66" ht="18.75" customHeight="1" x14ac:dyDescent="0.25"/>
    <row r="67" ht="18.75" customHeight="1" x14ac:dyDescent="0.25"/>
    <row r="68" ht="18.75" customHeight="1" x14ac:dyDescent="0.25"/>
    <row r="69" ht="18.75" customHeight="1" x14ac:dyDescent="0.25"/>
    <row r="70" ht="18.75" customHeight="1" x14ac:dyDescent="0.25"/>
    <row r="72" ht="18.75" customHeight="1" x14ac:dyDescent="0.25"/>
    <row r="73" ht="18.75" customHeight="1" x14ac:dyDescent="0.25"/>
    <row r="74" ht="18.75" customHeight="1" x14ac:dyDescent="0.25"/>
    <row r="75" ht="18.75" customHeight="1" x14ac:dyDescent="0.25"/>
    <row r="76" ht="18.75" customHeight="1" x14ac:dyDescent="0.25"/>
  </sheetData>
  <mergeCells count="41">
    <mergeCell ref="B18:C18"/>
    <mergeCell ref="D18:F18"/>
    <mergeCell ref="B8:F8"/>
    <mergeCell ref="G8:H8"/>
    <mergeCell ref="G9:H9"/>
    <mergeCell ref="C10:E10"/>
    <mergeCell ref="G10:I10"/>
    <mergeCell ref="G16:I16"/>
    <mergeCell ref="E2:F2"/>
    <mergeCell ref="C4:H4"/>
    <mergeCell ref="C5:E5"/>
    <mergeCell ref="C6:I6"/>
    <mergeCell ref="B7:H7"/>
    <mergeCell ref="C43:I43"/>
    <mergeCell ref="B19:H19"/>
    <mergeCell ref="B20:I20"/>
    <mergeCell ref="B21:E21"/>
    <mergeCell ref="G21:I21"/>
    <mergeCell ref="B22:E22"/>
    <mergeCell ref="G22:I22"/>
    <mergeCell ref="C26:E26"/>
    <mergeCell ref="H26:I26"/>
    <mergeCell ref="E39:F39"/>
    <mergeCell ref="C41:H41"/>
    <mergeCell ref="C42:E42"/>
    <mergeCell ref="C54:E54"/>
    <mergeCell ref="H54:I54"/>
    <mergeCell ref="G11:H11"/>
    <mergeCell ref="C12:E12"/>
    <mergeCell ref="G12:I12"/>
    <mergeCell ref="G13:H13"/>
    <mergeCell ref="C14:E14"/>
    <mergeCell ref="G14:I14"/>
    <mergeCell ref="G15:H15"/>
    <mergeCell ref="C16:E16"/>
    <mergeCell ref="C45:E45"/>
    <mergeCell ref="G45:I45"/>
    <mergeCell ref="B46:H46"/>
    <mergeCell ref="C48:H48"/>
    <mergeCell ref="C49:E49"/>
    <mergeCell ref="C50:I50"/>
  </mergeCells>
  <pageMargins left="0.7" right="0.7" top="0.75" bottom="0.75" header="0.3" footer="0.3"/>
  <pageSetup paperSize="9" scale="74"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2DA05-90B6-4B15-9204-208DE679F9EE}">
  <sheetPr codeName="Sheet4"/>
  <dimension ref="A1:XFC42"/>
  <sheetViews>
    <sheetView rightToLeft="1" view="pageBreakPreview" topLeftCell="A19" zoomScale="110" zoomScaleNormal="100" zoomScaleSheetLayoutView="110" workbookViewId="0">
      <selection activeCell="G5" sqref="G5"/>
    </sheetView>
  </sheetViews>
  <sheetFormatPr defaultColWidth="0" defaultRowHeight="18.75" customHeight="1" zeroHeight="1" x14ac:dyDescent="0.25"/>
  <cols>
    <col min="1" max="1" width="5" style="6" customWidth="1"/>
    <col min="2" max="2" width="12.140625" style="6" bestFit="1" customWidth="1"/>
    <col min="3" max="3" width="15.85546875" style="6" bestFit="1" customWidth="1"/>
    <col min="4" max="4" width="9" style="6" customWidth="1"/>
    <col min="5" max="5" width="12.85546875" style="6" bestFit="1" customWidth="1"/>
    <col min="6" max="6" width="9.5703125" style="6" bestFit="1" customWidth="1"/>
    <col min="7" max="7" width="10.7109375" style="18" bestFit="1" customWidth="1"/>
    <col min="8" max="8" width="13.7109375" style="6" customWidth="1"/>
    <col min="9" max="9" width="15.42578125" style="6" customWidth="1"/>
    <col min="10" max="12" width="9" style="6" hidden="1" customWidth="1"/>
    <col min="13" max="13" width="11.85546875" style="6" hidden="1" customWidth="1"/>
    <col min="14" max="16383" width="9" style="6" hidden="1"/>
    <col min="16384" max="16384" width="5.5703125" style="6" hidden="1" customWidth="1"/>
  </cols>
  <sheetData>
    <row r="1" spans="2:9" x14ac:dyDescent="0.25">
      <c r="H1" s="22">
        <v>1</v>
      </c>
      <c r="I1" s="8" t="s">
        <v>43</v>
      </c>
    </row>
    <row r="2" spans="2:9" x14ac:dyDescent="0.25">
      <c r="H2" s="32"/>
      <c r="I2" s="8"/>
    </row>
    <row r="3" spans="2:9" x14ac:dyDescent="0.25">
      <c r="H3" s="32"/>
      <c r="I3" s="8"/>
    </row>
    <row r="4" spans="2:9" ht="18" customHeight="1" x14ac:dyDescent="0.25">
      <c r="H4" s="32"/>
      <c r="I4" s="8"/>
    </row>
    <row r="5" spans="2:9" x14ac:dyDescent="0.25">
      <c r="H5" s="32"/>
      <c r="I5" s="8"/>
    </row>
    <row r="6" spans="2:9" x14ac:dyDescent="0.25">
      <c r="H6" s="32"/>
      <c r="I6" s="8"/>
    </row>
    <row r="7" spans="2:9" x14ac:dyDescent="0.25">
      <c r="H7" s="32"/>
      <c r="I7" s="8"/>
    </row>
    <row r="8" spans="2:9" x14ac:dyDescent="0.25"/>
    <row r="9" spans="2:9" ht="16.899999999999999" customHeight="1" x14ac:dyDescent="0.25"/>
    <row r="10" spans="2:9" x14ac:dyDescent="0.25"/>
    <row r="11" spans="2:9" x14ac:dyDescent="0.25"/>
    <row r="12" spans="2:9" x14ac:dyDescent="0.25"/>
    <row r="13" spans="2:9" x14ac:dyDescent="0.25">
      <c r="E13" s="50" t="s">
        <v>19</v>
      </c>
      <c r="F13" s="50"/>
    </row>
    <row r="14" spans="2:9" x14ac:dyDescent="0.25"/>
    <row r="15" spans="2:9" ht="30" customHeight="1" x14ac:dyDescent="0.25">
      <c r="B15" s="14" t="s">
        <v>20</v>
      </c>
      <c r="C15" s="51" t="s">
        <v>188</v>
      </c>
      <c r="D15" s="51"/>
      <c r="E15" s="51"/>
      <c r="F15" s="51"/>
      <c r="G15" s="51"/>
      <c r="H15" s="51"/>
      <c r="I15" s="8"/>
    </row>
    <row r="16" spans="2:9" ht="30" customHeight="1" x14ac:dyDescent="0.25">
      <c r="B16" s="14" t="s">
        <v>21</v>
      </c>
      <c r="C16" s="55">
        <v>30212212701493</v>
      </c>
      <c r="D16" s="55"/>
      <c r="E16" s="55"/>
      <c r="F16" s="9"/>
      <c r="G16" s="8"/>
      <c r="H16" s="9"/>
      <c r="I16" s="9"/>
    </row>
    <row r="17" spans="1:15" ht="30" customHeight="1" x14ac:dyDescent="0.25">
      <c r="B17" s="14" t="s">
        <v>22</v>
      </c>
      <c r="C17" s="51" t="s">
        <v>106</v>
      </c>
      <c r="D17" s="51"/>
      <c r="E17" s="51"/>
      <c r="F17" s="51"/>
      <c r="G17" s="51"/>
      <c r="H17" s="51"/>
      <c r="I17" s="51"/>
    </row>
    <row r="18" spans="1:15" ht="30" customHeight="1" x14ac:dyDescent="0.25">
      <c r="B18" s="56" t="s">
        <v>116</v>
      </c>
      <c r="C18" s="56"/>
      <c r="D18" s="56"/>
      <c r="E18" s="56"/>
      <c r="F18" s="56"/>
      <c r="G18" s="56"/>
      <c r="H18" s="56"/>
      <c r="I18" s="13"/>
    </row>
    <row r="19" spans="1:15" ht="30" customHeight="1" x14ac:dyDescent="0.25">
      <c r="B19" s="56"/>
      <c r="C19" s="56"/>
      <c r="D19" s="56"/>
      <c r="E19" s="56"/>
      <c r="F19" s="56"/>
      <c r="G19" s="56"/>
      <c r="H19" s="56"/>
      <c r="I19" s="13"/>
    </row>
    <row r="20" spans="1:15" ht="30" customHeight="1" x14ac:dyDescent="0.25">
      <c r="B20" s="16" t="s">
        <v>41</v>
      </c>
      <c r="C20" s="8" t="str">
        <f>_xlfn.XLOOKUP(H1,المبيعات!$A:$A,المبيعات!K:K,"غير متوفر",0)</f>
        <v>Boxer BM</v>
      </c>
      <c r="D20" s="12"/>
      <c r="E20" s="12" t="s">
        <v>42</v>
      </c>
      <c r="F20" s="16">
        <f>_xlfn.XLOOKUP(H1,المبيعات!$A:$A,المبيعات!N:N,"غير متوفر",0)</f>
        <v>2026</v>
      </c>
      <c r="G20" s="16" t="s">
        <v>62</v>
      </c>
      <c r="H20" s="63" t="str">
        <f>_xlfn.XLOOKUP(H1,المبيعات!$A:$A,المبيعات!O:O,"غير متوفر",0)</f>
        <v>Black*red</v>
      </c>
      <c r="I20" s="63"/>
    </row>
    <row r="21" spans="1:15" ht="30" customHeight="1" x14ac:dyDescent="0.25">
      <c r="B21" s="14" t="s">
        <v>23</v>
      </c>
      <c r="C21" s="58" t="str">
        <f>_xlfn.XLOOKUP(H1,المبيعات!$A:$A,المبيعات!L:L,"غير متوفر",0)</f>
        <v>CAAA21BZOTC239272</v>
      </c>
      <c r="D21" s="58"/>
      <c r="E21" s="58"/>
      <c r="F21" s="14" t="s">
        <v>24</v>
      </c>
      <c r="G21" s="58" t="str">
        <f>_xlfn.XLOOKUP(H1,المبيعات!$A:$A,المبيعات!M:M,"غير متوفر",0)</f>
        <v>PFXWSG81582</v>
      </c>
      <c r="H21" s="58"/>
      <c r="I21" s="58"/>
    </row>
    <row r="22" spans="1:15" ht="30" customHeight="1" x14ac:dyDescent="0.25">
      <c r="B22" s="61" t="s">
        <v>34</v>
      </c>
      <c r="C22" s="61"/>
      <c r="D22" s="65">
        <f>_xlfn.XLOOKUP(H1,المبيعات!$A:$A,المبيعات!P:P,"غير متوفر",0)</f>
        <v>46049.98578703704</v>
      </c>
      <c r="E22" s="65"/>
      <c r="F22" s="65"/>
      <c r="G22" s="21"/>
    </row>
    <row r="23" spans="1:15" ht="30" customHeight="1" x14ac:dyDescent="0.25">
      <c r="B23" s="61" t="s">
        <v>46</v>
      </c>
      <c r="C23" s="61"/>
      <c r="D23" s="58" t="str">
        <f>_xlfn.XLOOKUP(H1,المبيعات!$A:$A,المبيعات!B:B,"غير متوفر",0)</f>
        <v>عبدالرحمن محمد بكري احمد عبدالقادر</v>
      </c>
      <c r="E23" s="58"/>
      <c r="F23" s="58"/>
      <c r="G23" s="58"/>
    </row>
    <row r="24" spans="1:15" ht="30" customHeight="1" x14ac:dyDescent="0.25">
      <c r="B24" s="14" t="s">
        <v>21</v>
      </c>
      <c r="C24" s="64">
        <f>_xlfn.XLOOKUP(H1,المبيعات!$A:$A,المبيعات!H:H,"غير متوفر",0)</f>
        <v>29402122701018</v>
      </c>
      <c r="D24" s="64"/>
      <c r="E24" s="64"/>
      <c r="G24" s="6"/>
    </row>
    <row r="25" spans="1:15" ht="30" customHeight="1" x14ac:dyDescent="0.25">
      <c r="B25" s="14" t="s">
        <v>22</v>
      </c>
      <c r="C25" s="58" t="str">
        <f>_xlfn.XLOOKUP(H1,المبيعات!$A:$A,المبيعات!E:E,"غير متوفر",0)</f>
        <v>جسر السياله - مركز اسنا - الاقصر</v>
      </c>
      <c r="D25" s="58"/>
      <c r="E25" s="58"/>
      <c r="F25" s="58"/>
      <c r="G25" s="58"/>
      <c r="H25" s="58"/>
      <c r="I25" s="58"/>
    </row>
    <row r="26" spans="1:15" ht="30" customHeight="1" x14ac:dyDescent="0.25">
      <c r="A26" s="50" t="s">
        <v>47</v>
      </c>
      <c r="B26" s="50"/>
      <c r="C26" s="50"/>
      <c r="D26" s="50"/>
      <c r="E26" s="50"/>
      <c r="F26" s="50"/>
      <c r="G26" s="50"/>
      <c r="H26" s="50"/>
      <c r="I26" s="50"/>
    </row>
    <row r="27" spans="1:15" ht="30" customHeight="1" x14ac:dyDescent="0.25">
      <c r="A27" s="50" t="s">
        <v>118</v>
      </c>
      <c r="B27" s="50"/>
      <c r="C27" s="50"/>
      <c r="D27" s="50"/>
      <c r="E27" s="50"/>
      <c r="F27" s="50"/>
      <c r="G27" s="50"/>
      <c r="H27" s="50"/>
      <c r="I27" s="50"/>
    </row>
    <row r="28" spans="1:15" ht="30" customHeight="1" x14ac:dyDescent="0.25">
      <c r="B28" s="61" t="s">
        <v>48</v>
      </c>
      <c r="C28" s="61"/>
      <c r="D28" s="58" t="str">
        <f>_xlfn.XLOOKUP(H1,المبيعات!$A:$A,المبيعات!B:B,"غير متوفر",0)</f>
        <v>عبدالرحمن محمد بكري احمد عبدالقادر</v>
      </c>
      <c r="E28" s="58"/>
      <c r="F28" s="58"/>
      <c r="G28" s="58" t="s">
        <v>134</v>
      </c>
      <c r="H28" s="58"/>
      <c r="I28" s="58"/>
      <c r="J28" s="58"/>
      <c r="K28" s="58"/>
      <c r="L28" s="58"/>
      <c r="M28" s="58"/>
      <c r="N28" s="58"/>
      <c r="O28" s="58"/>
    </row>
    <row r="29" spans="1:15" ht="30" customHeight="1" x14ac:dyDescent="0.25">
      <c r="A29" s="56" t="s">
        <v>49</v>
      </c>
      <c r="B29" s="50"/>
      <c r="C29" s="50"/>
      <c r="D29" s="50"/>
      <c r="E29" s="50"/>
      <c r="F29" s="50"/>
      <c r="G29" s="50"/>
      <c r="H29" s="50"/>
      <c r="I29" s="50"/>
    </row>
    <row r="30" spans="1:15" x14ac:dyDescent="0.25">
      <c r="B30" s="58"/>
      <c r="C30" s="58"/>
      <c r="D30" s="58"/>
      <c r="E30" s="58"/>
      <c r="G30" s="50"/>
      <c r="H30" s="50"/>
      <c r="I30" s="50"/>
    </row>
    <row r="31" spans="1:15" x14ac:dyDescent="0.25">
      <c r="B31" s="58" t="s">
        <v>26</v>
      </c>
      <c r="C31" s="58"/>
      <c r="D31" s="58"/>
      <c r="E31" s="58"/>
      <c r="G31" s="50" t="s">
        <v>25</v>
      </c>
      <c r="H31" s="50"/>
      <c r="I31" s="50"/>
    </row>
    <row r="32" spans="1:15" x14ac:dyDescent="0.25">
      <c r="B32" s="8"/>
      <c r="C32" s="8"/>
      <c r="D32" s="8"/>
      <c r="E32" s="8"/>
      <c r="G32" s="7"/>
      <c r="H32" s="7"/>
      <c r="I32" s="7"/>
    </row>
    <row r="33" spans="2:9" x14ac:dyDescent="0.25">
      <c r="B33" s="14" t="s">
        <v>37</v>
      </c>
      <c r="C33" s="6" t="s">
        <v>27</v>
      </c>
      <c r="D33" s="8"/>
      <c r="E33" s="8"/>
      <c r="G33" s="20" t="s">
        <v>28</v>
      </c>
    </row>
    <row r="34" spans="2:9" x14ac:dyDescent="0.25">
      <c r="B34" s="14"/>
      <c r="G34" s="20"/>
      <c r="H34" s="49"/>
    </row>
    <row r="35" spans="2:9" x14ac:dyDescent="0.25">
      <c r="B35" s="14" t="s">
        <v>29</v>
      </c>
      <c r="G35" s="20" t="s">
        <v>30</v>
      </c>
    </row>
    <row r="36" spans="2:9" x14ac:dyDescent="0.25">
      <c r="B36" s="14"/>
      <c r="G36" s="20"/>
    </row>
    <row r="37" spans="2:9" x14ac:dyDescent="0.25">
      <c r="B37" s="14"/>
      <c r="C37" s="59"/>
      <c r="D37" s="59"/>
      <c r="E37" s="59"/>
      <c r="G37" s="20" t="s">
        <v>31</v>
      </c>
      <c r="H37" s="65">
        <f>_xlfn.XLOOKUP(H1,المبيعات!$A:$A,المبيعات!P:P,"غير متوفر",0)</f>
        <v>46049.98578703704</v>
      </c>
      <c r="I37" s="65"/>
    </row>
    <row r="38" spans="2:9" x14ac:dyDescent="0.25">
      <c r="B38" s="14"/>
      <c r="G38" s="20"/>
    </row>
    <row r="39" spans="2:9" x14ac:dyDescent="0.25">
      <c r="G39" s="6"/>
    </row>
    <row r="40" spans="2:9" x14ac:dyDescent="0.25">
      <c r="B40" s="14"/>
      <c r="G40" s="20"/>
    </row>
    <row r="41" spans="2:9" x14ac:dyDescent="0.25">
      <c r="G41" s="20"/>
      <c r="H41" s="28" t="s">
        <v>50</v>
      </c>
      <c r="I41" s="27"/>
    </row>
    <row r="42" spans="2:9" hidden="1" x14ac:dyDescent="0.25">
      <c r="G42" s="20"/>
      <c r="H42" s="26"/>
      <c r="I42" s="26"/>
    </row>
  </sheetData>
  <sheetProtection algorithmName="SHA-512" hashValue="f64DlNO8E3IwVDrhx7ijWb58kXgs0A+PIdObwFZSyYDMoyDYFvd/Nulw+k81DIAO/E6UIs4GA65PASVGo2B9FA==" saltValue="pBwbAhZ4Rji8PA1cke/UkA==" spinCount="100000" sheet="1" objects="1" scenarios="1"/>
  <mergeCells count="26">
    <mergeCell ref="H20:I20"/>
    <mergeCell ref="G28:O28"/>
    <mergeCell ref="C21:E21"/>
    <mergeCell ref="G21:I21"/>
    <mergeCell ref="B31:E31"/>
    <mergeCell ref="G31:I31"/>
    <mergeCell ref="C25:I25"/>
    <mergeCell ref="A26:I26"/>
    <mergeCell ref="B30:E30"/>
    <mergeCell ref="G30:I30"/>
    <mergeCell ref="E13:F13"/>
    <mergeCell ref="C16:E16"/>
    <mergeCell ref="C17:I17"/>
    <mergeCell ref="B18:H19"/>
    <mergeCell ref="C37:E37"/>
    <mergeCell ref="H37:I37"/>
    <mergeCell ref="B22:C22"/>
    <mergeCell ref="D22:F22"/>
    <mergeCell ref="B23:C23"/>
    <mergeCell ref="D23:G23"/>
    <mergeCell ref="C24:E24"/>
    <mergeCell ref="A27:I27"/>
    <mergeCell ref="C15:H15"/>
    <mergeCell ref="B28:C28"/>
    <mergeCell ref="D28:F28"/>
    <mergeCell ref="A29:I29"/>
  </mergeCells>
  <pageMargins left="0.70866141732283472" right="0.70866141732283472" top="0.74803149606299213" bottom="0.74803149606299213" header="0.31496062992125984" footer="0.31496062992125984"/>
  <pageSetup paperSize="9" scale="75" orientation="portrait" r:id="rId1"/>
  <headerFooter>
    <oddHeader xml:space="preserve">&amp;L&amp;G&amp;R
جنوب الصعيد لوسائل النقل الخفيف 
South Upper Egypt for Light Vehicles
سجل تجاري : 51439 
بطاقة ضربية : 371-154-529 
</oddHeader>
    <oddFooter>&amp;R&amp;T  &amp;D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حفظ_نطاق_PDF">
                <anchor moveWithCells="1" sizeWithCells="1">
                  <from>
                    <xdr:col>7</xdr:col>
                    <xdr:colOff>857250</xdr:colOff>
                    <xdr:row>1</xdr:row>
                    <xdr:rowOff>76200</xdr:rowOff>
                  </from>
                  <to>
                    <xdr:col>8</xdr:col>
                    <xdr:colOff>962025</xdr:colOff>
                    <xdr:row>2</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9272B-9A3B-422D-AA13-0E1B65F66F66}">
  <sheetPr codeName="Sheet5"/>
  <dimension ref="A1:K59"/>
  <sheetViews>
    <sheetView rightToLeft="1" view="pageBreakPreview" topLeftCell="A22" zoomScaleNormal="90" zoomScaleSheetLayoutView="100" workbookViewId="0">
      <selection activeCell="H7" sqref="H7"/>
    </sheetView>
  </sheetViews>
  <sheetFormatPr defaultColWidth="0" defaultRowHeight="18.75" customHeight="1" zeroHeight="1" x14ac:dyDescent="0.25"/>
  <cols>
    <col min="1" max="1" width="5" style="6" customWidth="1"/>
    <col min="2" max="2" width="12.140625" style="6" bestFit="1" customWidth="1"/>
    <col min="3" max="3" width="16.85546875" style="6" customWidth="1"/>
    <col min="4" max="4" width="9.5703125" style="6" bestFit="1" customWidth="1"/>
    <col min="5" max="5" width="12.85546875" style="6" bestFit="1" customWidth="1"/>
    <col min="6" max="6" width="10.28515625" style="6" bestFit="1" customWidth="1"/>
    <col min="7" max="7" width="10.7109375" style="18" bestFit="1" customWidth="1"/>
    <col min="8" max="8" width="17.140625" style="6" bestFit="1" customWidth="1"/>
    <col min="9" max="9" width="13.140625" style="6" customWidth="1"/>
    <col min="10" max="10" width="28.5703125" style="6" customWidth="1"/>
    <col min="11" max="11" width="0" style="6" hidden="1" customWidth="1"/>
    <col min="12" max="16384" width="28.5703125" style="6" hidden="1"/>
  </cols>
  <sheetData>
    <row r="1" spans="2:9" x14ac:dyDescent="0.25">
      <c r="H1" s="22">
        <v>1</v>
      </c>
      <c r="I1" s="8" t="s">
        <v>43</v>
      </c>
    </row>
    <row r="2" spans="2:9" x14ac:dyDescent="0.25">
      <c r="H2" s="32" t="s">
        <v>168</v>
      </c>
      <c r="I2" s="8"/>
    </row>
    <row r="3" spans="2:9" x14ac:dyDescent="0.25">
      <c r="H3" s="32"/>
      <c r="I3" s="8"/>
    </row>
    <row r="4" spans="2:9" x14ac:dyDescent="0.25">
      <c r="H4" s="32"/>
      <c r="I4" s="8"/>
    </row>
    <row r="5" spans="2:9" x14ac:dyDescent="0.25">
      <c r="H5" s="32"/>
      <c r="I5" s="8"/>
    </row>
    <row r="6" spans="2:9" x14ac:dyDescent="0.25">
      <c r="H6" s="32"/>
      <c r="I6" s="8"/>
    </row>
    <row r="7" spans="2:9" x14ac:dyDescent="0.25">
      <c r="H7" s="32"/>
      <c r="I7" s="8"/>
    </row>
    <row r="8" spans="2:9" x14ac:dyDescent="0.25">
      <c r="H8" s="32"/>
      <c r="I8" s="8"/>
    </row>
    <row r="9" spans="2:9" x14ac:dyDescent="0.25">
      <c r="H9" s="32"/>
      <c r="I9" s="8"/>
    </row>
    <row r="10" spans="2:9" x14ac:dyDescent="0.25">
      <c r="H10" s="32"/>
      <c r="I10" s="8"/>
    </row>
    <row r="11" spans="2:9" x14ac:dyDescent="0.25">
      <c r="H11" s="32"/>
      <c r="I11" s="8"/>
    </row>
    <row r="12" spans="2:9" x14ac:dyDescent="0.25">
      <c r="H12" s="32"/>
      <c r="I12" s="8"/>
    </row>
    <row r="13" spans="2:9" x14ac:dyDescent="0.25">
      <c r="H13" s="32"/>
      <c r="I13" s="8"/>
    </row>
    <row r="14" spans="2:9" x14ac:dyDescent="0.25">
      <c r="E14" s="50" t="s">
        <v>19</v>
      </c>
      <c r="F14" s="50"/>
    </row>
    <row r="15" spans="2:9" x14ac:dyDescent="0.25"/>
    <row r="16" spans="2:9" ht="30" customHeight="1" x14ac:dyDescent="0.25">
      <c r="B16" s="14" t="s">
        <v>20</v>
      </c>
      <c r="C16" s="63" t="str">
        <f>_xlfn.XLOOKUP(H1,المبيعات!$A:$A,المبيعات!B:B,"غير متوفر",0)</f>
        <v>عبدالرحمن محمد بكري احمد عبدالقادر</v>
      </c>
      <c r="D16" s="63"/>
      <c r="E16" s="63"/>
      <c r="F16" s="63"/>
      <c r="G16" s="63"/>
      <c r="H16" s="63"/>
      <c r="I16" s="8"/>
    </row>
    <row r="17" spans="2:9" ht="30" customHeight="1" x14ac:dyDescent="0.25">
      <c r="B17" s="14" t="s">
        <v>21</v>
      </c>
      <c r="C17" s="64">
        <f>_xlfn.XLOOKUP(H1,المبيعات!$A:$A,المبيعات!H:H,"غير متوفر",0)</f>
        <v>29402122701018</v>
      </c>
      <c r="D17" s="64"/>
      <c r="E17" s="64"/>
      <c r="F17" s="9"/>
      <c r="G17" s="8"/>
      <c r="H17" s="9"/>
      <c r="I17" s="9"/>
    </row>
    <row r="18" spans="2:9" ht="28.5" customHeight="1" x14ac:dyDescent="0.25">
      <c r="B18" s="14" t="s">
        <v>22</v>
      </c>
      <c r="C18" s="66" t="str">
        <f>_xlfn.XLOOKUP(H1,المبيعات!$A:$A,المبيعات!E:E,"غير متوفر",0)</f>
        <v>جسر السياله - مركز اسنا - الاقصر</v>
      </c>
      <c r="D18" s="66"/>
      <c r="E18" s="66"/>
      <c r="F18" s="66"/>
      <c r="G18" s="66"/>
      <c r="H18" s="66"/>
      <c r="I18" s="66"/>
    </row>
    <row r="19" spans="2:9" ht="48" customHeight="1" x14ac:dyDescent="0.25">
      <c r="B19" s="56" t="s">
        <v>113</v>
      </c>
      <c r="C19" s="56"/>
      <c r="D19" s="56"/>
      <c r="E19" s="56"/>
      <c r="F19" s="56"/>
      <c r="G19" s="56"/>
      <c r="H19" s="56"/>
      <c r="I19" s="13"/>
    </row>
    <row r="20" spans="2:9" ht="30" customHeight="1" x14ac:dyDescent="0.25">
      <c r="B20" s="53"/>
      <c r="C20" s="53"/>
      <c r="D20" s="53"/>
      <c r="E20" s="53"/>
      <c r="F20" s="53"/>
      <c r="G20" s="63"/>
      <c r="H20" s="63"/>
      <c r="I20" s="13"/>
    </row>
    <row r="21" spans="2:9" ht="30" customHeight="1" x14ac:dyDescent="0.25">
      <c r="B21" s="16" t="s">
        <v>41</v>
      </c>
      <c r="C21" s="8" t="str">
        <f>_xlfn.XLOOKUP(H1,المبيعات!$A:$A,المبيعات!K:K,"غير متوفر",0)</f>
        <v>Boxer BM</v>
      </c>
      <c r="D21" s="12" t="s">
        <v>42</v>
      </c>
      <c r="E21" s="16">
        <f>_xlfn.XLOOKUP(H1,المبيعات!$A:$A,المبيعات!N:N,"غير متوفر",0)</f>
        <v>2026</v>
      </c>
      <c r="F21" s="33" t="s">
        <v>61</v>
      </c>
      <c r="G21" s="63" t="str">
        <f>_xlfn.XLOOKUP(H1,المبيعات!$A:$A,المبيعات!O:O,"غير متوفر",0)</f>
        <v>Black*red</v>
      </c>
      <c r="H21" s="63"/>
      <c r="I21" s="13"/>
    </row>
    <row r="22" spans="2:9" ht="30" customHeight="1" x14ac:dyDescent="0.25">
      <c r="B22" s="14" t="s">
        <v>23</v>
      </c>
      <c r="C22" s="58" t="str">
        <f>_xlfn.XLOOKUP(H1,المبيعات!$A:$A,المبيعات!L:L,"غير متوفر",0)</f>
        <v>CAAA21BZOTC239272</v>
      </c>
      <c r="D22" s="58"/>
      <c r="E22" s="58"/>
      <c r="F22" s="14" t="s">
        <v>24</v>
      </c>
      <c r="G22" s="58" t="str">
        <f>_xlfn.XLOOKUP(H1,المبيعات!$A:$A,المبيعات!M:M,"غير متوفر",0)</f>
        <v>PFXWSG81582</v>
      </c>
      <c r="H22" s="58"/>
      <c r="I22" s="58"/>
    </row>
    <row r="23" spans="2:9" ht="30" customHeight="1" x14ac:dyDescent="0.25">
      <c r="B23" s="61" t="s">
        <v>34</v>
      </c>
      <c r="C23" s="61"/>
      <c r="D23" s="65">
        <f>_xlfn.XLOOKUP(H1,المبيعات!$A:$A,المبيعات!P:P,"غير متوفر",0)</f>
        <v>46049.98578703704</v>
      </c>
      <c r="E23" s="65"/>
      <c r="F23" s="65"/>
      <c r="G23" s="21"/>
    </row>
    <row r="24" spans="2:9" ht="30" customHeight="1" x14ac:dyDescent="0.25">
      <c r="B24" s="58" t="s">
        <v>114</v>
      </c>
      <c r="C24" s="58"/>
      <c r="D24" s="58"/>
      <c r="E24" s="58"/>
      <c r="F24" s="58"/>
      <c r="G24" s="58"/>
      <c r="H24" s="58"/>
    </row>
    <row r="25" spans="2:9" ht="30" customHeight="1" x14ac:dyDescent="0.25">
      <c r="B25" s="63" t="s">
        <v>49</v>
      </c>
      <c r="C25" s="63"/>
      <c r="D25" s="63"/>
      <c r="E25" s="63"/>
      <c r="F25" s="63"/>
      <c r="G25" s="63"/>
      <c r="H25" s="63"/>
      <c r="I25" s="63"/>
    </row>
    <row r="26" spans="2:9" x14ac:dyDescent="0.25">
      <c r="B26" s="58"/>
      <c r="C26" s="58"/>
      <c r="D26" s="58"/>
      <c r="E26" s="58"/>
      <c r="G26" s="50"/>
      <c r="H26" s="50"/>
      <c r="I26" s="50"/>
    </row>
    <row r="27" spans="2:9" x14ac:dyDescent="0.25">
      <c r="B27" s="58"/>
      <c r="C27" s="58"/>
      <c r="D27" s="58"/>
      <c r="E27" s="58"/>
      <c r="G27" s="50" t="s">
        <v>25</v>
      </c>
      <c r="H27" s="50"/>
      <c r="I27" s="50"/>
    </row>
    <row r="28" spans="2:9" x14ac:dyDescent="0.25">
      <c r="B28" s="8"/>
      <c r="C28" s="8"/>
      <c r="D28" s="8"/>
      <c r="E28" s="8"/>
      <c r="G28" s="7"/>
      <c r="H28" s="7"/>
      <c r="I28" s="7"/>
    </row>
    <row r="29" spans="2:9" x14ac:dyDescent="0.25">
      <c r="B29" s="14" t="s">
        <v>37</v>
      </c>
      <c r="C29" s="6" t="s">
        <v>119</v>
      </c>
      <c r="D29" s="8"/>
      <c r="E29" s="8"/>
      <c r="G29" s="20" t="s">
        <v>28</v>
      </c>
    </row>
    <row r="30" spans="2:9" x14ac:dyDescent="0.25">
      <c r="B30" s="14"/>
      <c r="G30" s="20"/>
    </row>
    <row r="31" spans="2:9" x14ac:dyDescent="0.25">
      <c r="B31" s="14"/>
      <c r="C31" s="59"/>
      <c r="D31" s="59"/>
      <c r="E31" s="59"/>
      <c r="G31" s="20" t="s">
        <v>31</v>
      </c>
      <c r="H31" s="65">
        <f>_xlfn.XLOOKUP(H1,المبيعات!$A:$A,المبيعات!P:P,"غير متوفر",0)</f>
        <v>46049.98578703704</v>
      </c>
      <c r="I31" s="65"/>
    </row>
    <row r="32" spans="2:9" x14ac:dyDescent="0.25">
      <c r="B32" s="14"/>
      <c r="G32" s="20"/>
    </row>
    <row r="33" spans="2:9" x14ac:dyDescent="0.25">
      <c r="B33" s="14"/>
      <c r="G33" s="35" t="s">
        <v>32</v>
      </c>
      <c r="H33" s="8" t="str">
        <f>_xlfn.XLOOKUP(H1,المبيعات!$A:$A,المبيعات!F:F,"غير متوفر",0)</f>
        <v>01111668929</v>
      </c>
    </row>
    <row r="34" spans="2:9" x14ac:dyDescent="0.25">
      <c r="B34" s="14"/>
      <c r="G34" s="20"/>
    </row>
    <row r="35" spans="2:9" x14ac:dyDescent="0.25">
      <c r="G35" s="20"/>
      <c r="H35" s="28" t="s">
        <v>50</v>
      </c>
      <c r="I35" s="27"/>
    </row>
    <row r="36" spans="2:9" hidden="1" x14ac:dyDescent="0.25">
      <c r="G36" s="20"/>
      <c r="H36" s="26"/>
      <c r="I36" s="26"/>
    </row>
    <row r="37" spans="2:9" x14ac:dyDescent="0.25">
      <c r="G37" s="20"/>
      <c r="H37" s="26"/>
      <c r="I37" s="26"/>
    </row>
    <row r="38" spans="2:9" hidden="1" x14ac:dyDescent="0.25">
      <c r="G38" s="20"/>
      <c r="H38" s="26"/>
      <c r="I38" s="26"/>
    </row>
    <row r="39" spans="2:9" hidden="1" x14ac:dyDescent="0.25">
      <c r="H39" s="10"/>
      <c r="I39" s="8"/>
    </row>
    <row r="44" spans="2:9" ht="21" hidden="1" customHeight="1" x14ac:dyDescent="0.25">
      <c r="E44" s="50"/>
      <c r="F44" s="50"/>
    </row>
    <row r="46" spans="2:9" ht="21" hidden="1" customHeight="1" x14ac:dyDescent="0.25">
      <c r="B46" s="14"/>
      <c r="C46" s="63"/>
      <c r="D46" s="63"/>
      <c r="E46" s="63"/>
      <c r="F46" s="63"/>
      <c r="G46" s="63"/>
      <c r="H46" s="63"/>
      <c r="I46" s="8"/>
    </row>
    <row r="47" spans="2:9" ht="21" hidden="1" customHeight="1" x14ac:dyDescent="0.25">
      <c r="B47" s="14"/>
      <c r="C47" s="64"/>
      <c r="D47" s="64"/>
      <c r="E47" s="64"/>
      <c r="F47" s="9"/>
      <c r="G47" s="8"/>
      <c r="H47" s="9"/>
      <c r="I47" s="9"/>
    </row>
    <row r="48" spans="2:9" ht="21" hidden="1" customHeight="1" x14ac:dyDescent="0.25">
      <c r="B48" s="14"/>
      <c r="C48" s="63"/>
      <c r="D48" s="63"/>
      <c r="E48" s="63"/>
      <c r="F48" s="63"/>
      <c r="G48" s="63"/>
      <c r="H48" s="63"/>
      <c r="I48" s="63"/>
    </row>
    <row r="49" spans="1:9" ht="21" hidden="1" customHeight="1" x14ac:dyDescent="0.25">
      <c r="B49" s="16"/>
      <c r="C49" s="8"/>
      <c r="D49" s="12"/>
      <c r="E49" s="12"/>
      <c r="F49" s="12"/>
      <c r="G49" s="16"/>
      <c r="H49" s="12"/>
      <c r="I49" s="13"/>
    </row>
    <row r="50" spans="1:9" hidden="1" x14ac:dyDescent="0.25">
      <c r="B50" s="14"/>
      <c r="C50" s="58"/>
      <c r="D50" s="58"/>
      <c r="E50" s="58"/>
      <c r="F50" s="14"/>
      <c r="G50" s="58"/>
      <c r="H50" s="58"/>
      <c r="I50" s="58"/>
    </row>
    <row r="51" spans="1:9" hidden="1" x14ac:dyDescent="0.25">
      <c r="B51" s="58"/>
      <c r="C51" s="58"/>
      <c r="D51" s="58"/>
      <c r="E51" s="58"/>
      <c r="F51" s="58"/>
      <c r="G51" s="58"/>
      <c r="H51" s="58"/>
    </row>
    <row r="53" spans="1:9" hidden="1" x14ac:dyDescent="0.25">
      <c r="A53" s="13"/>
      <c r="B53" s="14"/>
      <c r="C53" s="63"/>
      <c r="D53" s="63"/>
      <c r="E53" s="63"/>
      <c r="F53" s="63"/>
      <c r="G53" s="63"/>
      <c r="H53" s="63"/>
      <c r="I53" s="8"/>
    </row>
    <row r="54" spans="1:9" hidden="1" x14ac:dyDescent="0.25">
      <c r="B54" s="14"/>
      <c r="C54" s="64"/>
      <c r="D54" s="64"/>
      <c r="E54" s="64"/>
      <c r="F54" s="9"/>
      <c r="G54" s="8"/>
      <c r="H54" s="9"/>
      <c r="I54" s="9"/>
    </row>
    <row r="55" spans="1:9" hidden="1" x14ac:dyDescent="0.25">
      <c r="B55" s="14"/>
      <c r="C55" s="63"/>
      <c r="D55" s="63"/>
      <c r="E55" s="63"/>
      <c r="F55" s="63"/>
      <c r="G55" s="63"/>
      <c r="H55" s="63"/>
      <c r="I55" s="63"/>
    </row>
    <row r="56" spans="1:9" hidden="1" x14ac:dyDescent="0.25">
      <c r="B56" s="16"/>
      <c r="C56" s="8"/>
      <c r="D56" s="12"/>
      <c r="E56" s="12"/>
      <c r="F56" s="12"/>
      <c r="G56" s="16"/>
      <c r="H56" s="12"/>
      <c r="I56" s="13"/>
    </row>
    <row r="57" spans="1:9" hidden="1" x14ac:dyDescent="0.25">
      <c r="B57" s="14"/>
      <c r="D57" s="8"/>
      <c r="E57" s="8"/>
      <c r="G57" s="20"/>
    </row>
    <row r="58" spans="1:9" hidden="1" x14ac:dyDescent="0.25">
      <c r="B58" s="14"/>
      <c r="G58" s="20"/>
    </row>
    <row r="59" spans="1:9" hidden="1" x14ac:dyDescent="0.25">
      <c r="B59" s="14"/>
      <c r="C59" s="59"/>
      <c r="D59" s="59"/>
      <c r="E59" s="59"/>
      <c r="G59" s="20"/>
      <c r="H59" s="65"/>
      <c r="I59" s="65"/>
    </row>
  </sheetData>
  <mergeCells count="32">
    <mergeCell ref="B24:H24"/>
    <mergeCell ref="B25:I25"/>
    <mergeCell ref="C50:E50"/>
    <mergeCell ref="G50:I50"/>
    <mergeCell ref="B51:H51"/>
    <mergeCell ref="E44:F44"/>
    <mergeCell ref="C46:H46"/>
    <mergeCell ref="C47:E47"/>
    <mergeCell ref="C48:I48"/>
    <mergeCell ref="B26:E26"/>
    <mergeCell ref="G26:I26"/>
    <mergeCell ref="B27:E27"/>
    <mergeCell ref="G27:I27"/>
    <mergeCell ref="C31:E31"/>
    <mergeCell ref="H31:I31"/>
    <mergeCell ref="C59:E59"/>
    <mergeCell ref="H59:I59"/>
    <mergeCell ref="C53:H53"/>
    <mergeCell ref="C54:E54"/>
    <mergeCell ref="C55:I55"/>
    <mergeCell ref="B23:C23"/>
    <mergeCell ref="D23:F23"/>
    <mergeCell ref="E14:F14"/>
    <mergeCell ref="C16:H16"/>
    <mergeCell ref="C17:E17"/>
    <mergeCell ref="C18:I18"/>
    <mergeCell ref="C22:E22"/>
    <mergeCell ref="G22:I22"/>
    <mergeCell ref="G21:H21"/>
    <mergeCell ref="B19:H19"/>
    <mergeCell ref="B20:F20"/>
    <mergeCell ref="G20:H20"/>
  </mergeCells>
  <pageMargins left="0.70866141732283472" right="0.70866141732283472" top="0.74803149606299213" bottom="0.82" header="0.31496062992125984" footer="0.31496062992125984"/>
  <pageSetup paperSize="9" scale="70" orientation="portrait" r:id="rId1"/>
  <headerFooter>
    <oddHeader xml:space="preserve">&amp;L&amp;G&amp;R
جنوب الصعيد لوسائل النقل الخفيف 
South Upper Egypt for Light Vehicles
سجل تجاري : 51439 
بطاقة ضربية : 371-154-529 
</oddHeader>
    <oddFooter>&amp;R&amp;T  &amp;D</oddFooter>
  </headerFooter>
  <rowBreaks count="1" manualBreakCount="1">
    <brk id="37" max="16383" man="1"/>
  </rowBreaks>
  <ignoredErrors>
    <ignoredError sqref="C16:C18" unlockedFormula="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حفظ_نطاق_PDF">
                <anchor moveWithCells="1" sizeWithCells="1">
                  <from>
                    <xdr:col>9</xdr:col>
                    <xdr:colOff>676275</xdr:colOff>
                    <xdr:row>2</xdr:row>
                    <xdr:rowOff>19050</xdr:rowOff>
                  </from>
                  <to>
                    <xdr:col>9</xdr:col>
                    <xdr:colOff>1962150</xdr:colOff>
                    <xdr:row>5</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F7F8D-6B84-4D9D-B3D2-8C188B927E54}">
  <sheetPr codeName="Sheet6"/>
  <dimension ref="A2:J46"/>
  <sheetViews>
    <sheetView rightToLeft="1" view="pageBreakPreview" topLeftCell="A19" zoomScale="115" zoomScaleNormal="100" zoomScaleSheetLayoutView="115" workbookViewId="0">
      <selection activeCell="B10" sqref="B10:I10"/>
    </sheetView>
  </sheetViews>
  <sheetFormatPr defaultColWidth="9.140625" defaultRowHeight="23.25" x14ac:dyDescent="0.35"/>
  <cols>
    <col min="1" max="1" width="15.28515625" style="40" bestFit="1" customWidth="1"/>
    <col min="2" max="2" width="13.42578125" style="40" customWidth="1"/>
    <col min="3" max="3" width="10.140625" style="40" bestFit="1" customWidth="1"/>
    <col min="4" max="4" width="5.7109375" style="40" bestFit="1" customWidth="1"/>
    <col min="5" max="16384" width="9.140625" style="40"/>
  </cols>
  <sheetData>
    <row r="2" spans="1:10" ht="26.25" x14ac:dyDescent="0.35">
      <c r="B2" s="41"/>
      <c r="E2" s="41" t="s">
        <v>84</v>
      </c>
    </row>
    <row r="5" spans="1:10" x14ac:dyDescent="0.35">
      <c r="A5" s="36"/>
      <c r="B5" s="36"/>
      <c r="C5" s="36"/>
      <c r="D5" s="36"/>
      <c r="E5" s="36"/>
      <c r="F5" s="36"/>
      <c r="G5" s="36"/>
      <c r="H5" s="36"/>
      <c r="I5" s="36"/>
    </row>
    <row r="6" spans="1:10" x14ac:dyDescent="0.35">
      <c r="A6" s="36" t="s">
        <v>20</v>
      </c>
      <c r="B6" s="67" t="s">
        <v>86</v>
      </c>
      <c r="C6" s="67"/>
      <c r="D6" s="67"/>
      <c r="E6" s="67"/>
      <c r="F6" s="67"/>
      <c r="G6" s="67"/>
      <c r="H6" s="67"/>
      <c r="I6" s="36"/>
    </row>
    <row r="7" spans="1:10" x14ac:dyDescent="0.35">
      <c r="A7" s="37"/>
      <c r="B7" s="37"/>
      <c r="C7" s="37"/>
      <c r="D7" s="37"/>
      <c r="E7" s="37"/>
      <c r="F7" s="37"/>
      <c r="G7" s="36"/>
      <c r="H7" s="36"/>
      <c r="I7" s="36"/>
    </row>
    <row r="8" spans="1:10" x14ac:dyDescent="0.35">
      <c r="A8" s="36" t="s">
        <v>67</v>
      </c>
      <c r="B8" s="70">
        <v>27207082800773</v>
      </c>
      <c r="C8" s="70"/>
      <c r="D8" s="70"/>
      <c r="E8" s="70"/>
      <c r="F8" s="70"/>
      <c r="G8" s="36"/>
      <c r="H8" s="36"/>
      <c r="I8" s="36"/>
    </row>
    <row r="9" spans="1:10" x14ac:dyDescent="0.35">
      <c r="A9" s="37"/>
      <c r="B9" s="39"/>
      <c r="C9" s="39"/>
      <c r="D9" s="39"/>
      <c r="E9" s="39"/>
      <c r="F9" s="39"/>
      <c r="G9" s="36"/>
      <c r="H9" s="36"/>
      <c r="I9" s="36"/>
    </row>
    <row r="10" spans="1:10" x14ac:dyDescent="0.35">
      <c r="A10" s="36" t="s">
        <v>68</v>
      </c>
      <c r="B10" s="70" t="s">
        <v>87</v>
      </c>
      <c r="C10" s="70"/>
      <c r="D10" s="70"/>
      <c r="E10" s="70"/>
      <c r="F10" s="70"/>
      <c r="G10" s="70"/>
      <c r="H10" s="70"/>
      <c r="I10" s="70"/>
    </row>
    <row r="11" spans="1:10" x14ac:dyDescent="0.35">
      <c r="A11" s="36"/>
      <c r="B11" s="39"/>
      <c r="C11" s="39"/>
      <c r="D11" s="39"/>
      <c r="E11" s="39"/>
      <c r="F11" s="39"/>
      <c r="G11" s="36"/>
      <c r="H11" s="36"/>
      <c r="I11" s="36"/>
    </row>
    <row r="12" spans="1:10" x14ac:dyDescent="0.35">
      <c r="A12" s="71" t="s">
        <v>69</v>
      </c>
      <c r="B12" s="71"/>
      <c r="C12" s="38">
        <v>10000</v>
      </c>
      <c r="D12" s="38" t="s">
        <v>70</v>
      </c>
      <c r="E12" s="67" t="s">
        <v>71</v>
      </c>
      <c r="F12" s="67"/>
      <c r="G12" s="67"/>
      <c r="H12" s="67"/>
      <c r="I12" s="67"/>
      <c r="J12" s="67"/>
    </row>
    <row r="13" spans="1:10" x14ac:dyDescent="0.35">
      <c r="A13" s="67" t="s">
        <v>72</v>
      </c>
      <c r="B13" s="67"/>
      <c r="C13" s="67"/>
      <c r="D13" s="67"/>
      <c r="E13" s="67"/>
      <c r="F13" s="67"/>
      <c r="G13" s="67"/>
      <c r="H13" s="67"/>
      <c r="I13" s="67"/>
      <c r="J13" s="67"/>
    </row>
    <row r="14" spans="1:10" x14ac:dyDescent="0.35">
      <c r="A14" s="69" t="s">
        <v>73</v>
      </c>
      <c r="B14" s="69"/>
      <c r="C14" s="69"/>
      <c r="D14" s="69"/>
      <c r="E14" s="69"/>
      <c r="F14" s="69"/>
      <c r="G14" s="69"/>
      <c r="H14" s="69"/>
      <c r="I14" s="69"/>
      <c r="J14" s="69"/>
    </row>
    <row r="15" spans="1:10" ht="18.75" customHeight="1" x14ac:dyDescent="0.35">
      <c r="A15" s="69"/>
      <c r="B15" s="69"/>
      <c r="C15" s="69"/>
      <c r="D15" s="69"/>
      <c r="E15" s="69"/>
      <c r="F15" s="69"/>
      <c r="G15" s="69"/>
      <c r="H15" s="69"/>
      <c r="I15" s="69"/>
      <c r="J15" s="69"/>
    </row>
    <row r="16" spans="1:10" ht="18.75" customHeight="1" x14ac:dyDescent="0.35">
      <c r="A16" s="69"/>
      <c r="B16" s="69"/>
      <c r="C16" s="69"/>
      <c r="D16" s="69"/>
      <c r="E16" s="69"/>
      <c r="F16" s="69"/>
      <c r="G16" s="69"/>
      <c r="H16" s="69"/>
      <c r="I16" s="69"/>
      <c r="J16" s="69"/>
    </row>
    <row r="17" spans="1:10" x14ac:dyDescent="0.35">
      <c r="A17" s="67" t="s">
        <v>74</v>
      </c>
      <c r="B17" s="67"/>
      <c r="C17" s="67"/>
      <c r="D17" s="37"/>
      <c r="E17" s="37"/>
      <c r="F17" s="37"/>
      <c r="G17" s="37"/>
      <c r="H17" s="37"/>
      <c r="I17" s="36"/>
    </row>
    <row r="18" spans="1:10" x14ac:dyDescent="0.35">
      <c r="A18" s="37"/>
      <c r="B18" s="37"/>
      <c r="C18" s="37"/>
      <c r="D18" s="37"/>
      <c r="E18" s="37"/>
      <c r="F18" s="37"/>
      <c r="G18" s="37"/>
      <c r="H18" s="37"/>
      <c r="I18" s="36"/>
    </row>
    <row r="19" spans="1:10" x14ac:dyDescent="0.35">
      <c r="A19" s="67" t="s">
        <v>75</v>
      </c>
      <c r="B19" s="67"/>
      <c r="C19" s="37"/>
      <c r="D19" s="37"/>
      <c r="E19" s="37"/>
      <c r="F19" s="37"/>
      <c r="G19" s="37"/>
      <c r="H19" s="37"/>
      <c r="I19" s="36"/>
    </row>
    <row r="20" spans="1:10" x14ac:dyDescent="0.35">
      <c r="A20" s="37" t="s">
        <v>76</v>
      </c>
      <c r="B20" s="67"/>
      <c r="C20" s="67"/>
      <c r="D20" s="67"/>
      <c r="E20" s="67"/>
      <c r="F20" s="67"/>
      <c r="G20" s="67"/>
      <c r="H20" s="37"/>
      <c r="I20" s="36"/>
    </row>
    <row r="21" spans="1:10" x14ac:dyDescent="0.35">
      <c r="A21" s="37" t="s">
        <v>77</v>
      </c>
      <c r="B21" s="67"/>
      <c r="C21" s="67"/>
      <c r="D21" s="67"/>
      <c r="E21" s="67"/>
      <c r="F21" s="37" t="s">
        <v>83</v>
      </c>
      <c r="G21" s="68" t="s">
        <v>78</v>
      </c>
      <c r="H21" s="68"/>
      <c r="I21" s="36"/>
    </row>
    <row r="22" spans="1:10" x14ac:dyDescent="0.35">
      <c r="A22" s="36"/>
      <c r="B22" s="36"/>
      <c r="C22" s="36"/>
      <c r="D22" s="36"/>
      <c r="E22" s="36"/>
      <c r="F22" s="36"/>
      <c r="G22" s="36"/>
      <c r="H22" s="36"/>
      <c r="I22" s="36"/>
    </row>
    <row r="23" spans="1:10" x14ac:dyDescent="0.35">
      <c r="A23" s="36"/>
      <c r="B23" s="36"/>
      <c r="C23" s="36"/>
      <c r="D23" s="36"/>
      <c r="E23" s="36"/>
      <c r="F23" s="36"/>
      <c r="G23" s="36"/>
      <c r="H23" s="36"/>
      <c r="I23" s="36"/>
    </row>
    <row r="24" spans="1:10" x14ac:dyDescent="0.35">
      <c r="A24" s="37" t="s">
        <v>20</v>
      </c>
      <c r="B24" s="67"/>
      <c r="C24" s="67"/>
      <c r="D24" s="67"/>
      <c r="E24" s="67" t="s">
        <v>82</v>
      </c>
      <c r="F24" s="67"/>
      <c r="G24" s="67"/>
      <c r="H24" s="67"/>
      <c r="I24" s="67"/>
      <c r="J24" s="67"/>
    </row>
    <row r="25" spans="1:10" x14ac:dyDescent="0.35">
      <c r="A25" s="67" t="s">
        <v>81</v>
      </c>
      <c r="B25" s="67"/>
      <c r="C25" s="67"/>
      <c r="D25" s="67"/>
      <c r="E25" s="37"/>
      <c r="F25" s="37"/>
      <c r="G25" s="37"/>
      <c r="H25" s="37"/>
      <c r="I25" s="37"/>
      <c r="J25" s="42"/>
    </row>
    <row r="26" spans="1:10" x14ac:dyDescent="0.35">
      <c r="A26" s="37" t="s">
        <v>76</v>
      </c>
      <c r="B26" s="37"/>
      <c r="C26" s="37"/>
      <c r="D26" s="37"/>
      <c r="E26" s="37"/>
      <c r="F26" s="37"/>
      <c r="G26" s="37"/>
      <c r="H26" s="37"/>
      <c r="I26" s="37"/>
      <c r="J26" s="42"/>
    </row>
    <row r="27" spans="1:10" x14ac:dyDescent="0.35">
      <c r="A27" s="37" t="s">
        <v>79</v>
      </c>
      <c r="B27" s="37"/>
      <c r="C27" s="37"/>
      <c r="D27" s="37"/>
      <c r="E27" s="67" t="s">
        <v>80</v>
      </c>
      <c r="F27" s="67"/>
      <c r="G27" s="37"/>
      <c r="H27" s="37"/>
      <c r="I27" s="37"/>
      <c r="J27" s="42"/>
    </row>
    <row r="28" spans="1:10" x14ac:dyDescent="0.35">
      <c r="A28" s="37"/>
      <c r="B28" s="37"/>
      <c r="C28" s="37"/>
      <c r="D28" s="37"/>
      <c r="E28" s="37"/>
      <c r="F28" s="37"/>
      <c r="G28" s="37"/>
      <c r="H28" s="37"/>
      <c r="I28" s="37"/>
      <c r="J28" s="42"/>
    </row>
    <row r="29" spans="1:10" x14ac:dyDescent="0.35">
      <c r="A29" s="37" t="s">
        <v>77</v>
      </c>
      <c r="B29" s="37"/>
      <c r="C29" s="37"/>
      <c r="D29" s="37"/>
      <c r="E29" s="37"/>
      <c r="F29" s="37" t="s">
        <v>83</v>
      </c>
      <c r="G29" s="68" t="s">
        <v>78</v>
      </c>
      <c r="H29" s="68"/>
      <c r="I29" s="37"/>
      <c r="J29" s="42"/>
    </row>
    <row r="30" spans="1:10" x14ac:dyDescent="0.35">
      <c r="A30" s="36"/>
      <c r="B30" s="36"/>
      <c r="C30" s="36"/>
      <c r="D30" s="36"/>
      <c r="E30" s="36"/>
      <c r="F30" s="36"/>
      <c r="G30" s="36"/>
      <c r="H30" s="36"/>
      <c r="I30" s="36"/>
    </row>
    <row r="31" spans="1:10" x14ac:dyDescent="0.35">
      <c r="A31" s="36"/>
      <c r="B31" s="36"/>
      <c r="C31" s="36"/>
      <c r="D31" s="36"/>
      <c r="E31" s="36"/>
      <c r="F31" s="36"/>
      <c r="G31" s="36"/>
      <c r="H31" s="36"/>
      <c r="I31" s="36"/>
    </row>
    <row r="32" spans="1:10" x14ac:dyDescent="0.35">
      <c r="A32" s="36"/>
      <c r="B32" s="36"/>
      <c r="C32" s="36"/>
      <c r="D32" s="36"/>
      <c r="E32" s="36"/>
      <c r="F32" s="36"/>
      <c r="G32" s="36"/>
      <c r="H32" s="36"/>
      <c r="I32" s="36"/>
    </row>
    <row r="33" spans="1:9" x14ac:dyDescent="0.35">
      <c r="A33" s="36"/>
      <c r="B33" s="36"/>
      <c r="C33" s="36"/>
      <c r="D33" s="36"/>
      <c r="E33" s="36"/>
      <c r="F33" s="36"/>
      <c r="G33" s="36"/>
      <c r="H33" s="36"/>
      <c r="I33" s="36"/>
    </row>
    <row r="34" spans="1:9" x14ac:dyDescent="0.35">
      <c r="A34" s="36"/>
      <c r="B34" s="36"/>
      <c r="C34" s="36"/>
      <c r="D34" s="36"/>
      <c r="E34" s="36"/>
      <c r="F34" s="36"/>
      <c r="G34" s="36"/>
      <c r="H34" s="36"/>
      <c r="I34" s="36"/>
    </row>
    <row r="35" spans="1:9" x14ac:dyDescent="0.35">
      <c r="A35" s="36"/>
      <c r="B35" s="36"/>
      <c r="C35" s="36"/>
      <c r="D35" s="36"/>
      <c r="E35" s="36"/>
      <c r="F35" s="36"/>
      <c r="G35" s="36"/>
      <c r="H35" s="36"/>
      <c r="I35" s="36"/>
    </row>
    <row r="36" spans="1:9" x14ac:dyDescent="0.35">
      <c r="A36" s="36"/>
      <c r="B36" s="36"/>
      <c r="C36" s="36"/>
      <c r="D36" s="36"/>
      <c r="E36" s="36"/>
      <c r="F36" s="36"/>
      <c r="G36" s="36"/>
      <c r="H36" s="36"/>
      <c r="I36" s="36"/>
    </row>
    <row r="37" spans="1:9" x14ac:dyDescent="0.35">
      <c r="A37" s="36"/>
      <c r="B37" s="36"/>
      <c r="C37" s="36"/>
      <c r="D37" s="36"/>
      <c r="E37" s="36"/>
      <c r="F37" s="36"/>
      <c r="G37" s="36"/>
      <c r="H37" s="36"/>
      <c r="I37" s="36"/>
    </row>
    <row r="38" spans="1:9" x14ac:dyDescent="0.35">
      <c r="A38" s="36"/>
      <c r="B38" s="36"/>
      <c r="C38" s="36"/>
      <c r="D38" s="36"/>
      <c r="E38" s="36"/>
      <c r="F38" s="36"/>
      <c r="G38" s="36"/>
      <c r="H38" s="36"/>
      <c r="I38" s="36"/>
    </row>
    <row r="39" spans="1:9" x14ac:dyDescent="0.35">
      <c r="A39" s="36"/>
      <c r="B39" s="36"/>
      <c r="C39" s="36"/>
      <c r="D39" s="36"/>
      <c r="E39" s="36"/>
      <c r="F39" s="36"/>
      <c r="G39" s="36"/>
      <c r="H39" s="36"/>
      <c r="I39" s="36"/>
    </row>
    <row r="40" spans="1:9" x14ac:dyDescent="0.35">
      <c r="A40" s="36"/>
      <c r="B40" s="36"/>
      <c r="C40" s="36"/>
      <c r="D40" s="36"/>
      <c r="E40" s="36"/>
      <c r="F40" s="36"/>
      <c r="G40" s="36"/>
      <c r="H40" s="36"/>
      <c r="I40" s="36"/>
    </row>
    <row r="41" spans="1:9" x14ac:dyDescent="0.35">
      <c r="A41" s="36"/>
      <c r="B41" s="36"/>
      <c r="C41" s="36"/>
      <c r="D41" s="36"/>
      <c r="E41" s="36"/>
      <c r="F41" s="36"/>
      <c r="G41" s="36"/>
      <c r="H41" s="36"/>
      <c r="I41" s="36"/>
    </row>
    <row r="42" spans="1:9" x14ac:dyDescent="0.35">
      <c r="A42" s="36"/>
      <c r="B42" s="36"/>
      <c r="C42" s="36"/>
      <c r="D42" s="36"/>
      <c r="E42" s="36"/>
      <c r="F42" s="36"/>
      <c r="G42" s="36"/>
      <c r="H42" s="36"/>
      <c r="I42" s="36"/>
    </row>
    <row r="43" spans="1:9" x14ac:dyDescent="0.35">
      <c r="A43" s="36"/>
      <c r="B43" s="36"/>
      <c r="C43" s="36"/>
      <c r="D43" s="36"/>
      <c r="E43" s="36"/>
      <c r="F43" s="36"/>
      <c r="G43" s="36"/>
      <c r="H43" s="36"/>
      <c r="I43" s="36"/>
    </row>
    <row r="44" spans="1:9" x14ac:dyDescent="0.35">
      <c r="A44" s="36"/>
      <c r="B44" s="36"/>
      <c r="C44" s="36"/>
      <c r="D44" s="36"/>
      <c r="E44" s="36"/>
      <c r="F44" s="36"/>
      <c r="G44" s="36"/>
      <c r="H44" s="36"/>
      <c r="I44" s="36"/>
    </row>
    <row r="45" spans="1:9" x14ac:dyDescent="0.35">
      <c r="A45" s="36"/>
      <c r="B45" s="36"/>
      <c r="C45" s="36"/>
      <c r="D45" s="36"/>
      <c r="E45" s="36"/>
      <c r="F45" s="36"/>
      <c r="G45" s="36"/>
      <c r="H45" s="36"/>
      <c r="I45" s="36"/>
    </row>
    <row r="46" spans="1:9" x14ac:dyDescent="0.35">
      <c r="A46" s="36"/>
      <c r="B46" s="36"/>
      <c r="C46" s="36"/>
      <c r="D46" s="36"/>
      <c r="E46" s="36"/>
      <c r="F46" s="36"/>
      <c r="G46" s="36"/>
      <c r="H46" s="36"/>
      <c r="I46" s="36"/>
    </row>
  </sheetData>
  <mergeCells count="17">
    <mergeCell ref="B8:F8"/>
    <mergeCell ref="A12:B12"/>
    <mergeCell ref="E12:J12"/>
    <mergeCell ref="B10:I10"/>
    <mergeCell ref="B6:H6"/>
    <mergeCell ref="A13:J13"/>
    <mergeCell ref="A25:D25"/>
    <mergeCell ref="E27:F27"/>
    <mergeCell ref="G29:H29"/>
    <mergeCell ref="B24:D24"/>
    <mergeCell ref="E24:J24"/>
    <mergeCell ref="A14:J16"/>
    <mergeCell ref="B21:E21"/>
    <mergeCell ref="G21:H21"/>
    <mergeCell ref="A17:C17"/>
    <mergeCell ref="A19:B19"/>
    <mergeCell ref="B20:G20"/>
  </mergeCells>
  <pageMargins left="0.7" right="0.7" top="0.75" bottom="0.75" header="0.3" footer="0.3"/>
  <pageSetup paperSize="9" scale="81"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D4AE3-C01F-44E6-BC28-BCDDEB80F160}">
  <dimension ref="A1"/>
  <sheetViews>
    <sheetView rightToLeft="1" workbookViewId="0">
      <selection activeCell="I8" sqref="I8"/>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المبيعات</vt:lpstr>
      <vt:lpstr>المخزن</vt:lpstr>
      <vt:lpstr>اقرار تنازل</vt:lpstr>
      <vt:lpstr>اقرار استلام</vt:lpstr>
      <vt:lpstr>استلام كمية</vt:lpstr>
      <vt:lpstr>اقرار سمسار</vt:lpstr>
      <vt:lpstr>عقد بيع</vt:lpstr>
      <vt:lpstr>Sheet1</vt:lpstr>
      <vt:lpstr>ايصال سداد</vt:lpstr>
      <vt:lpstr>'اقرار استلام'!Print_Area</vt:lpstr>
      <vt:lpstr>'اقرار تنازل'!Print_Area</vt:lpstr>
      <vt:lpstr>'عقد بيع'!Print_Area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Anwar Rabee Said Mahmoud</dc:creator>
  <cp:lastModifiedBy>anwar zarad</cp:lastModifiedBy>
  <cp:lastPrinted>2026-10-08T10:24:32Z</cp:lastPrinted>
  <dcterms:created xsi:type="dcterms:W3CDTF">2015-06-05T18:17:20Z</dcterms:created>
  <dcterms:modified xsi:type="dcterms:W3CDTF">2026-10-08T10:27:38Z</dcterms:modified>
</cp:coreProperties>
</file>