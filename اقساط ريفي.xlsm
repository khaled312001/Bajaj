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7c581dce6ca87f/المستندات/"/>
    </mc:Choice>
  </mc:AlternateContent>
  <xr:revisionPtr revIDLastSave="84" documentId="13_ncr:1_{3D60A73B-A74A-4182-A3E0-3494EC158ABE}" xr6:coauthVersionLast="47" xr6:coauthVersionMax="47" xr10:uidLastSave="{E61FC825-C382-41F3-9FD4-8B97D40D163B}"/>
  <bookViews>
    <workbookView xWindow="-120" yWindow="-120" windowWidth="24240" windowHeight="13020" tabRatio="583" xr2:uid="{00000000-000D-0000-FFFF-FFFF00000000}"/>
  </bookViews>
  <sheets>
    <sheet name="امان" sheetId="1" r:id="rId1"/>
    <sheet name="Sheet1" sheetId="4" r:id="rId2"/>
    <sheet name="اسعار المنتاجات" sheetId="2" r:id="rId3"/>
    <sheet name="Texts" sheetId="3" state="hidden" r:id="rId4"/>
  </sheets>
  <definedNames>
    <definedName name="_xleta.XLOOKUP" hidden="1" xlm="1">#NAME?</definedName>
    <definedName name="_xlnm.Print_Area" localSheetId="2">'اسعار المنتاجات'!$A$1:$H$27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1" i="1" l="1"/>
  <c r="C38" i="1"/>
  <c r="C8" i="1"/>
  <c r="G8" i="1" s="1"/>
  <c r="C5" i="1"/>
  <c r="C28" i="1" l="1"/>
  <c r="C31" i="1"/>
  <c r="C34" i="1"/>
  <c r="C25" i="1"/>
  <c r="C22" i="1"/>
  <c r="G11" i="1"/>
  <c r="G13" i="1" s="1"/>
  <c r="C19" i="1"/>
  <c r="E31" i="1" l="1"/>
  <c r="G34" i="1"/>
  <c r="G25" i="1"/>
  <c r="E25" i="1"/>
  <c r="E19" i="1"/>
  <c r="G19" i="1"/>
  <c r="G31" i="1"/>
  <c r="G22" i="1"/>
  <c r="G28" i="1"/>
  <c r="E28" i="1"/>
  <c r="E34" i="1"/>
  <c r="E22" i="1"/>
</calcChain>
</file>

<file path=xl/sharedStrings.xml><?xml version="1.0" encoding="utf-8"?>
<sst xmlns="http://schemas.openxmlformats.org/spreadsheetml/2006/main" count="151" uniqueCount="83">
  <si>
    <t>جدول تقسيط بجاج قنا</t>
  </si>
  <si>
    <t>S/N:</t>
  </si>
  <si>
    <t>نوع المنتج  :</t>
  </si>
  <si>
    <t>سعر الكاش :</t>
  </si>
  <si>
    <t xml:space="preserve">الباقي: </t>
  </si>
  <si>
    <t xml:space="preserve">المقدم : </t>
  </si>
  <si>
    <t>مصاريف ادارية :</t>
  </si>
  <si>
    <t xml:space="preserve">الاقساط الشهرية  : </t>
  </si>
  <si>
    <t>يتم دفع اول قسط مع المقدم</t>
  </si>
  <si>
    <t>عدد الاقساط</t>
  </si>
  <si>
    <t>القسط الشهري</t>
  </si>
  <si>
    <t xml:space="preserve">الزيادة </t>
  </si>
  <si>
    <t>الاجمالي بالمقدم والمصاريف</t>
  </si>
  <si>
    <t>6 شهور</t>
  </si>
  <si>
    <t xml:space="preserve">12 شهر </t>
  </si>
  <si>
    <t>18 شهر</t>
  </si>
  <si>
    <t>24 شهر</t>
  </si>
  <si>
    <t xml:space="preserve">36 شهر </t>
  </si>
  <si>
    <t xml:space="preserve">الضمانات : </t>
  </si>
  <si>
    <t>ضمان علي المنتج :</t>
  </si>
  <si>
    <t xml:space="preserve">مواعيد العمل من السبت الي الخميس من الساعه 10 صباحا وحتي 3 مساءا </t>
  </si>
  <si>
    <t>هاتف : 01275455573 / 01093057341</t>
  </si>
  <si>
    <t>م</t>
  </si>
  <si>
    <t>اسم المنتج</t>
  </si>
  <si>
    <t>سعر المنتج</t>
  </si>
  <si>
    <t>الضمان</t>
  </si>
  <si>
    <t>المطلوب</t>
  </si>
  <si>
    <t xml:space="preserve">ضمان 24 شهر او 20,000 كم </t>
  </si>
  <si>
    <t>ضامن واحد فقط ولا يشترط وجود موظفين
ايصال مرافق للعميل والضامن</t>
  </si>
  <si>
    <t>ضمان 3  شهور او 5,000 كم</t>
  </si>
  <si>
    <t>موتوسيكل بجاج ديسكفري 125 سي سي  2026</t>
  </si>
  <si>
    <t>سكوتر ليفان  سبايدر 150 سي سي اتوماتيك</t>
  </si>
  <si>
    <t>ضمان 6 شهور او 10,000 كم</t>
  </si>
  <si>
    <t>سكوتر ليفان  نيمو  150 سي سي اتوماتيك</t>
  </si>
  <si>
    <t>سكوتر ليفان  روما  150 سي سي اتوماتيك</t>
  </si>
  <si>
    <t>هوجن 3 الفرزة الاولي</t>
  </si>
  <si>
    <t>بدون ضمان</t>
  </si>
  <si>
    <t>هوجن 3 الفرزة الثانية استيراد</t>
  </si>
  <si>
    <t>هوجن 3 الفرزة الثانية مصري برو</t>
  </si>
  <si>
    <t xml:space="preserve">ضمان 12 شهر او 30,000 كم </t>
  </si>
  <si>
    <t xml:space="preserve">بجاج كيوت موديل 2024 مستعملة عداد 20,000 كم </t>
  </si>
  <si>
    <t>خارج الضمان</t>
  </si>
  <si>
    <t>دايون 40 الفرزة التانية مصري</t>
  </si>
  <si>
    <t>موتوسيكل بجاج بلسر 150 سي سي 2025</t>
  </si>
  <si>
    <t xml:space="preserve">دايون 40 الفرزة الاولي </t>
  </si>
  <si>
    <t>هوجن 3 فيجوري استيراد الفرزة التانية</t>
  </si>
  <si>
    <t>عميل و ضامن موظف او لديه رخصة مهنية او لديه سجل تجاري وبطاقة ضربية
ايصال مرافق للعميل والضامن</t>
  </si>
  <si>
    <t>هوجن برنسيسة او نحلة 150 سي سي الفرزة الاولي</t>
  </si>
  <si>
    <t>السعر الكاش</t>
  </si>
  <si>
    <t>المقدم</t>
  </si>
  <si>
    <t>بدون مقدم</t>
  </si>
  <si>
    <t>نظام</t>
  </si>
  <si>
    <t>شهر</t>
  </si>
  <si>
    <t>شهور</t>
  </si>
  <si>
    <t>المقدم + القسط الاول + المصاريف الادارية</t>
  </si>
  <si>
    <t>الإجمالي الكلي للنظام</t>
  </si>
  <si>
    <t>أول قسط يُدفع مع الاستلام</t>
  </si>
  <si>
    <t>الضمانات</t>
  </si>
  <si>
    <t>الضمان على المنتج</t>
  </si>
  <si>
    <t>للتواصل</t>
  </si>
  <si>
    <t>العنوان</t>
  </si>
  <si>
    <t>جنيه</t>
  </si>
  <si>
    <t>تفاصيل عرض التقسيط</t>
  </si>
  <si>
    <t>هوجن برنسيسة او نحلة 150 سي سي الفرزة التانية</t>
  </si>
  <si>
    <t>هوجن 3 الفرزة الاولي استيراد بالكامل النسر</t>
  </si>
  <si>
    <t>عرض تقسيط بجاج قنا</t>
  </si>
  <si>
    <t>عربية مستوبيشي لانسر 2010</t>
  </si>
  <si>
    <t>جلاكسي 7 راكب 2027</t>
  </si>
  <si>
    <t>هوجن TX 250</t>
  </si>
  <si>
    <t>20 شهر</t>
  </si>
  <si>
    <t>.</t>
  </si>
  <si>
    <t xml:space="preserve">موتوسيكل بجاج بوكسر كلاسيك 2027 </t>
  </si>
  <si>
    <t xml:space="preserve">تروسيكل جي ماكس 200 سي سي 2027 </t>
  </si>
  <si>
    <t>موتوسيكل بجاج بلسر 150 سي سي 2027</t>
  </si>
  <si>
    <t>موتوسيكل بجاج بلسر 180 سي سي 2027</t>
  </si>
  <si>
    <t>بجاج كيوت بدون غاز 2027</t>
  </si>
  <si>
    <t xml:space="preserve">فيجوري 26 شبيه البوكسر </t>
  </si>
  <si>
    <t>عربية كيوت</t>
  </si>
  <si>
    <t>بجاج كيوت بدون غاز 2026</t>
  </si>
  <si>
    <t>جلاكسي 7 راكب 2026</t>
  </si>
  <si>
    <t>2W</t>
  </si>
  <si>
    <t>3W</t>
  </si>
  <si>
    <t>تروسيكل PNE ميوزك ساده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</si>
</sst>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ج.م.‏-C01]"/>
    <numFmt numFmtId="165" formatCode="#,##0\ [$ج.م.‏-C01]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4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164" fontId="4" fillId="0" borderId="0" xfId="0" applyNumberFormat="1" applyFont="1" applyAlignment="1" applyProtection="1">
      <alignment horizontal="center" vertical="center" readingOrder="2"/>
      <protection hidden="1"/>
    </xf>
    <xf numFmtId="0" fontId="0" fillId="2" borderId="0" xfId="0" applyFill="1" applyProtection="1">
      <protection hidden="1"/>
    </xf>
    <xf numFmtId="0" fontId="1" fillId="2" borderId="0" xfId="0" applyFont="1" applyFill="1" applyAlignment="1" applyProtection="1">
      <alignment horizontal="left" vertical="center"/>
      <protection locked="0" hidden="1"/>
    </xf>
    <xf numFmtId="0" fontId="2" fillId="2" borderId="0" xfId="0" applyFont="1" applyFill="1" applyAlignment="1" applyProtection="1">
      <alignment horizontal="right" vertical="center"/>
      <protection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 readingOrder="2"/>
      <protection hidden="1"/>
    </xf>
    <xf numFmtId="0" fontId="1" fillId="2" borderId="0" xfId="0" applyFont="1" applyFill="1" applyAlignment="1" applyProtection="1">
      <alignment horizontal="right" vertical="center"/>
      <protection hidden="1"/>
    </xf>
    <xf numFmtId="0" fontId="0" fillId="0" borderId="0" xfId="0" applyAlignment="1">
      <alignment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/>
    </xf>
    <xf numFmtId="4" fontId="6" fillId="4" borderId="10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4" fontId="6" fillId="4" borderId="12" xfId="0" applyNumberFormat="1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6" fillId="0" borderId="11" xfId="0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2" fillId="2" borderId="0" xfId="0" applyFont="1" applyFill="1" applyAlignment="1" applyProtection="1">
      <alignment horizontal="right" vertical="center"/>
      <protection hidden="1"/>
    </xf>
    <xf numFmtId="164" fontId="2" fillId="2" borderId="1" xfId="0" applyNumberFormat="1" applyFont="1" applyFill="1" applyBorder="1" applyAlignment="1" applyProtection="1">
      <alignment horizontal="center" vertical="center" readingOrder="2"/>
      <protection hidden="1"/>
    </xf>
    <xf numFmtId="0" fontId="0" fillId="0" borderId="3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hidden="1"/>
    </xf>
    <xf numFmtId="165" fontId="2" fillId="2" borderId="1" xfId="0" applyNumberFormat="1" applyFont="1" applyFill="1" applyBorder="1" applyAlignment="1" applyProtection="1">
      <alignment horizontal="center" vertical="center" readingOrder="2"/>
      <protection hidden="1"/>
    </xf>
    <xf numFmtId="165" fontId="2" fillId="2" borderId="5" xfId="0" applyNumberFormat="1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right" vertical="center" wrapText="1"/>
      <protection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2" xfId="0" applyFont="1" applyFill="1" applyBorder="1" applyAlignment="1" applyProtection="1">
      <alignment horizontal="center" vertical="center" readingOrder="2"/>
      <protection hidden="1"/>
    </xf>
    <xf numFmtId="0" fontId="0" fillId="0" borderId="2" xfId="0" applyBorder="1" applyProtection="1">
      <protection hidden="1"/>
    </xf>
    <xf numFmtId="164" fontId="2" fillId="2" borderId="5" xfId="0" applyNumberFormat="1" applyFont="1" applyFill="1" applyBorder="1" applyAlignment="1" applyProtection="1">
      <alignment horizontal="center" vertical="center" readingOrder="2"/>
      <protection hidden="1"/>
    </xf>
    <xf numFmtId="165" fontId="2" fillId="2" borderId="0" xfId="0" applyNumberFormat="1" applyFont="1" applyFill="1" applyAlignment="1" applyProtection="1">
      <alignment horizontal="right" vertical="center" readingOrder="2"/>
      <protection hidden="1"/>
    </xf>
    <xf numFmtId="165" fontId="3" fillId="2" borderId="7" xfId="0" applyNumberFormat="1" applyFont="1" applyFill="1" applyBorder="1" applyAlignment="1" applyProtection="1">
      <alignment horizontal="right" vertical="center" readingOrder="2"/>
      <protection locked="0" hidden="1"/>
    </xf>
    <xf numFmtId="0" fontId="2" fillId="2" borderId="0" xfId="0" applyFont="1" applyFill="1" applyAlignment="1" applyProtection="1">
      <alignment horizontal="center"/>
      <protection hidden="1"/>
    </xf>
    <xf numFmtId="165" fontId="2" fillId="2" borderId="0" xfId="0" applyNumberFormat="1" applyFont="1" applyFill="1" applyAlignment="1" applyProtection="1">
      <alignment horizontal="right" vertical="center" readingOrder="2"/>
      <protection locked="0" hidden="1"/>
    </xf>
    <xf numFmtId="0" fontId="0" fillId="0" borderId="0" xfId="0" applyProtection="1">
      <protection locked="0" hidden="1"/>
    </xf>
    <xf numFmtId="165" fontId="5" fillId="2" borderId="0" xfId="0" applyNumberFormat="1" applyFont="1" applyFill="1" applyAlignment="1" applyProtection="1">
      <alignment horizontal="center" vertical="center" readingOrder="2"/>
      <protection hidden="1"/>
    </xf>
    <xf numFmtId="164" fontId="2" fillId="2" borderId="2" xfId="0" applyNumberFormat="1" applyFont="1" applyFill="1" applyBorder="1" applyAlignment="1" applyProtection="1">
      <alignment horizontal="center" vertical="center" readingOrder="2"/>
      <protection hidden="1"/>
    </xf>
    <xf numFmtId="0" fontId="0" fillId="0" borderId="4" xfId="0" applyBorder="1" applyProtection="1">
      <protection hidden="1"/>
    </xf>
    <xf numFmtId="0" fontId="3" fillId="2" borderId="0" xfId="0" applyFont="1" applyFill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165" fontId="2" fillId="2" borderId="0" xfId="0" applyNumberFormat="1" applyFont="1" applyFill="1" applyAlignment="1" applyProtection="1">
      <alignment horizontal="left" vertical="center" readingOrder="2"/>
      <protection hidden="1"/>
    </xf>
    <xf numFmtId="165" fontId="2" fillId="2" borderId="2" xfId="0" applyNumberFormat="1" applyFont="1" applyFill="1" applyBorder="1" applyAlignment="1" applyProtection="1">
      <alignment horizontal="center" vertical="center" readingOrder="2"/>
      <protection hidden="1"/>
    </xf>
    <xf numFmtId="165" fontId="2" fillId="2" borderId="0" xfId="0" applyNumberFormat="1" applyFont="1" applyFill="1" applyAlignment="1" applyProtection="1">
      <alignment horizontal="center" vertical="center" readingOrder="2"/>
      <protection hidden="1"/>
    </xf>
  </cellXfs>
  <cellStyles count="1">
    <cellStyle name="Normal" xfId="0" builtinId="0"/>
  </cellStyles>
  <dxfs count="7"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 wrapText="1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numFmt numFmtId="164" formatCode="#,##0.00\ [$ج.م.‏-C01]"/>
      <alignment horizontal="center" vertical="center" readingOrder="2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/>
      <protection locked="1" hidden="1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alignment horizontal="center" vertical="center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</xdr:row>
          <xdr:rowOff>57150</xdr:rowOff>
        </xdr:from>
        <xdr:to>
          <xdr:col>9</xdr:col>
          <xdr:colOff>323850</xdr:colOff>
          <xdr:row>3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طباعة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0</xdr:row>
          <xdr:rowOff>76200</xdr:rowOff>
        </xdr:from>
        <xdr:to>
          <xdr:col>7</xdr:col>
          <xdr:colOff>552450</xdr:colOff>
          <xdr:row>2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نسخ للواتساب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14</xdr:row>
          <xdr:rowOff>28575</xdr:rowOff>
        </xdr:from>
        <xdr:to>
          <xdr:col>7</xdr:col>
          <xdr:colOff>676275</xdr:colOff>
          <xdr:row>15</xdr:row>
          <xdr:rowOff>47625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اختيار قسط معين ونسخه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5</xdr:row>
          <xdr:rowOff>19050</xdr:rowOff>
        </xdr:from>
        <xdr:to>
          <xdr:col>7</xdr:col>
          <xdr:colOff>752475</xdr:colOff>
          <xdr:row>6</xdr:row>
          <xdr:rowOff>161925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اختيار قسط للمندوب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E23" totalsRowShown="0" headerRowDxfId="6" dataDxfId="5">
  <autoFilter ref="A1:E23" xr:uid="{00000000-0009-0000-0100-000001000000}"/>
  <tableColumns count="5">
    <tableColumn id="1" xr3:uid="{00000000-0010-0000-0000-000001000000}" name="م" dataDxfId="4"/>
    <tableColumn id="2" xr3:uid="{00000000-0010-0000-0000-000002000000}" name="اسم المنتج" dataDxfId="3"/>
    <tableColumn id="3" xr3:uid="{00000000-0010-0000-0000-000003000000}" name="سعر المنتج" dataDxfId="2"/>
    <tableColumn id="4" xr3:uid="{00000000-0010-0000-0000-000004000000}" name="الضمان" dataDxfId="1"/>
    <tableColumn id="5" xr3:uid="{00000000-0010-0000-0000-000005000000}" name="المطلوب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91DC63C-6C01-4429-9A2E-794D3ABB1AA1}">
  <we:reference id="wa104381026" version="1.2.0.0" store="en-US" storeType="OMEX"/>
  <we:alternateReferences>
    <we:reference id="wa104381026" version="1.2.0.0" store="WA104381026" storeType="OMEX"/>
  </we:alternateReferences>
  <we:properties>
    <we:property name="insertIntoSheet" value="&quot;المخزن&quot;"/>
    <we:property name="insertIntoSheet2" value="&quot;المخزن&quot;"/>
    <we:property name="insertIntoCell" value="&quot;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49"/>
  <sheetViews>
    <sheetView rightToLeft="1" tabSelected="1" topLeftCell="A4" zoomScale="91" zoomScaleNormal="91" zoomScaleSheetLayoutView="100" workbookViewId="0">
      <selection activeCell="C28" sqref="C28:D29"/>
    </sheetView>
  </sheetViews>
  <sheetFormatPr defaultColWidth="0" defaultRowHeight="15" zeroHeight="1" x14ac:dyDescent="0.25"/>
  <cols>
    <col min="1" max="1" width="12.140625" style="4" customWidth="1"/>
    <col min="2" max="2" width="15.7109375" style="4" bestFit="1" customWidth="1"/>
    <col min="3" max="3" width="10.85546875" style="4" customWidth="1"/>
    <col min="4" max="4" width="8" style="4" customWidth="1"/>
    <col min="5" max="5" width="12.28515625" style="4" customWidth="1"/>
    <col min="6" max="6" width="12.140625" style="4" customWidth="1"/>
    <col min="7" max="7" width="15.140625" style="4" customWidth="1"/>
    <col min="8" max="8" width="15.5703125" style="4" customWidth="1"/>
    <col min="9" max="9" width="12.140625" style="4" hidden="1" customWidth="1"/>
    <col min="10" max="16384" width="12.140625" style="4" hidden="1"/>
  </cols>
  <sheetData>
    <row r="1" spans="1:8" ht="15" customHeight="1" x14ac:dyDescent="0.25"/>
    <row r="2" spans="1:8" ht="15" customHeight="1" x14ac:dyDescent="0.25">
      <c r="A2" s="47" t="s">
        <v>0</v>
      </c>
      <c r="B2" s="25"/>
      <c r="C2" s="25"/>
      <c r="D2" s="25"/>
      <c r="E2" s="25"/>
      <c r="F2" s="25"/>
      <c r="G2" s="25"/>
      <c r="H2" s="25"/>
    </row>
    <row r="3" spans="1:8" ht="15" customHeight="1" x14ac:dyDescent="0.25">
      <c r="A3" s="25"/>
      <c r="B3" s="25"/>
      <c r="C3" s="25"/>
      <c r="D3" s="25"/>
      <c r="E3" s="25"/>
      <c r="F3" s="25"/>
      <c r="G3" s="25"/>
      <c r="H3" s="25"/>
    </row>
    <row r="4" spans="1:8" ht="15" customHeight="1" x14ac:dyDescent="0.25">
      <c r="G4" s="5">
        <v>1</v>
      </c>
      <c r="H4" s="6" t="s">
        <v>1</v>
      </c>
    </row>
    <row r="5" spans="1:8" ht="15" customHeight="1" x14ac:dyDescent="0.25">
      <c r="A5" s="34" t="s">
        <v>2</v>
      </c>
      <c r="B5" s="25"/>
      <c r="C5" s="26" t="str">
        <f>IFERROR(VLOOKUP(G4,CHOOSE({1,2},'اسعار المنتاجات'!$A:$A,'اسعار المنتاجات'!B:B),2,FALSE),0)</f>
        <v xml:space="preserve">موتوسيكل بجاج بوكسر كلاسيك 2027 </v>
      </c>
      <c r="D5" s="25"/>
      <c r="E5" s="25"/>
      <c r="F5" s="25"/>
      <c r="G5" s="25"/>
    </row>
    <row r="6" spans="1:8" ht="15" customHeight="1" x14ac:dyDescent="0.25">
      <c r="A6" s="25"/>
      <c r="B6" s="25"/>
      <c r="C6" s="25"/>
      <c r="D6" s="25"/>
      <c r="E6" s="25"/>
      <c r="F6" s="25"/>
      <c r="G6" s="25"/>
    </row>
    <row r="7" spans="1:8" x14ac:dyDescent="0.25"/>
    <row r="8" spans="1:8" ht="15" customHeight="1" x14ac:dyDescent="0.25">
      <c r="A8" s="34" t="s">
        <v>3</v>
      </c>
      <c r="B8" s="25"/>
      <c r="C8" s="39">
        <f>IFERROR(VLOOKUP(G4,CHOOSE({1,2},'اسعار المنتاجات'!$A:$A,'اسعار المنتاجات'!C:C),2,FALSE),0)</f>
        <v>58500</v>
      </c>
      <c r="D8" s="25"/>
      <c r="E8" s="25"/>
      <c r="F8" s="51" t="s">
        <v>4</v>
      </c>
      <c r="G8" s="39">
        <f>C8-C11</f>
        <v>58000</v>
      </c>
      <c r="H8" s="25"/>
    </row>
    <row r="9" spans="1:8" ht="15" customHeight="1" x14ac:dyDescent="0.25">
      <c r="A9" s="25"/>
      <c r="B9" s="25"/>
      <c r="C9" s="25"/>
      <c r="D9" s="25"/>
      <c r="E9" s="25"/>
      <c r="F9" s="25"/>
      <c r="G9" s="25"/>
      <c r="H9" s="25"/>
    </row>
    <row r="10" spans="1:8" x14ac:dyDescent="0.25">
      <c r="G10" s="8"/>
    </row>
    <row r="11" spans="1:8" ht="15" customHeight="1" x14ac:dyDescent="0.25">
      <c r="A11" s="34" t="s">
        <v>5</v>
      </c>
      <c r="B11" s="25"/>
      <c r="C11" s="42">
        <v>500</v>
      </c>
      <c r="D11" s="43"/>
      <c r="E11" s="49" t="s">
        <v>6</v>
      </c>
      <c r="F11" s="25"/>
      <c r="G11" s="39">
        <f>G8*3/100+500</f>
        <v>2240</v>
      </c>
      <c r="H11" s="25"/>
    </row>
    <row r="12" spans="1:8" ht="15" customHeight="1" x14ac:dyDescent="0.25">
      <c r="A12" s="25"/>
      <c r="B12" s="25"/>
      <c r="C12" s="43"/>
      <c r="D12" s="43"/>
      <c r="E12" s="25"/>
      <c r="F12" s="25"/>
      <c r="G12" s="25"/>
      <c r="H12" s="25"/>
    </row>
    <row r="13" spans="1:8" ht="15" customHeight="1" x14ac:dyDescent="0.25">
      <c r="C13" s="44" t="s">
        <v>70</v>
      </c>
      <c r="D13" s="25"/>
      <c r="E13" s="25"/>
      <c r="F13" s="25"/>
      <c r="G13" s="39">
        <f>(C11+G11)</f>
        <v>2740</v>
      </c>
      <c r="H13" s="25"/>
    </row>
    <row r="14" spans="1:8" ht="19.5" customHeight="1" x14ac:dyDescent="0.25">
      <c r="A14" s="34" t="s">
        <v>7</v>
      </c>
      <c r="B14" s="25"/>
      <c r="C14" s="25"/>
      <c r="D14" s="25"/>
      <c r="E14" s="25"/>
      <c r="F14" s="25"/>
      <c r="G14" s="25"/>
      <c r="H14" s="25"/>
    </row>
    <row r="15" spans="1:8" ht="25.5" customHeight="1" x14ac:dyDescent="0.35">
      <c r="A15" s="25"/>
      <c r="B15" s="25"/>
      <c r="C15" s="41" t="s">
        <v>8</v>
      </c>
      <c r="D15" s="25"/>
      <c r="E15" s="25"/>
      <c r="F15" s="25"/>
      <c r="G15" s="25"/>
    </row>
    <row r="16" spans="1:8" ht="26.25" x14ac:dyDescent="0.25">
      <c r="A16" s="7"/>
      <c r="B16" s="40">
        <v>6684</v>
      </c>
      <c r="C16" s="40"/>
      <c r="D16" s="40"/>
    </row>
    <row r="17" spans="1:8" ht="21" customHeight="1" x14ac:dyDescent="0.25">
      <c r="A17" s="7"/>
      <c r="B17" s="48" t="s">
        <v>9</v>
      </c>
      <c r="C17" s="48" t="s">
        <v>10</v>
      </c>
      <c r="D17" s="28"/>
      <c r="E17" s="35" t="s">
        <v>11</v>
      </c>
      <c r="F17" s="28"/>
      <c r="G17" s="48" t="s">
        <v>12</v>
      </c>
      <c r="H17" s="28"/>
    </row>
    <row r="18" spans="1:8" ht="21.75" customHeight="1" thickBot="1" x14ac:dyDescent="0.3">
      <c r="A18" s="7"/>
      <c r="B18" s="37"/>
      <c r="C18" s="29"/>
      <c r="D18" s="30"/>
      <c r="E18" s="29"/>
      <c r="F18" s="30"/>
      <c r="G18" s="29"/>
      <c r="H18" s="30"/>
    </row>
    <row r="19" spans="1:8" ht="15" customHeight="1" thickTop="1" x14ac:dyDescent="0.25">
      <c r="B19" s="36" t="s">
        <v>13</v>
      </c>
      <c r="C19" s="50">
        <f>(G8)*1.125/6</f>
        <v>10875</v>
      </c>
      <c r="D19" s="46"/>
      <c r="E19" s="45">
        <f>C19*6+G13-C8</f>
        <v>9490</v>
      </c>
      <c r="F19" s="46"/>
      <c r="G19" s="50">
        <f>C19*6+G13</f>
        <v>67990</v>
      </c>
      <c r="H19" s="46"/>
    </row>
    <row r="20" spans="1:8" x14ac:dyDescent="0.25">
      <c r="B20" s="37"/>
      <c r="C20" s="29"/>
      <c r="D20" s="30"/>
      <c r="E20" s="29"/>
      <c r="F20" s="30"/>
      <c r="G20" s="29"/>
      <c r="H20" s="30"/>
    </row>
    <row r="21" spans="1:8" x14ac:dyDescent="0.25">
      <c r="B21" s="9"/>
      <c r="C21" s="9"/>
      <c r="D21" s="9"/>
      <c r="E21" s="10"/>
      <c r="F21" s="10"/>
      <c r="G21" s="9"/>
      <c r="H21" s="9"/>
    </row>
    <row r="22" spans="1:8" ht="15" customHeight="1" x14ac:dyDescent="0.25">
      <c r="B22" s="35" t="s">
        <v>14</v>
      </c>
      <c r="C22" s="31">
        <f>(G8)*1.22/12</f>
        <v>5896.666666666667</v>
      </c>
      <c r="D22" s="28"/>
      <c r="E22" s="27">
        <f>C22*12+G13-C8</f>
        <v>15000</v>
      </c>
      <c r="F22" s="28"/>
      <c r="G22" s="31">
        <f>C22*12+G13</f>
        <v>73500</v>
      </c>
      <c r="H22" s="28"/>
    </row>
    <row r="23" spans="1:8" ht="15" customHeight="1" x14ac:dyDescent="0.25">
      <c r="B23" s="37"/>
      <c r="C23" s="29"/>
      <c r="D23" s="30"/>
      <c r="E23" s="29"/>
      <c r="F23" s="30"/>
      <c r="G23" s="29"/>
      <c r="H23" s="30"/>
    </row>
    <row r="24" spans="1:8" x14ac:dyDescent="0.25">
      <c r="B24" s="9"/>
      <c r="C24" s="9"/>
      <c r="D24" s="9"/>
      <c r="E24" s="10"/>
      <c r="F24" s="10"/>
      <c r="G24" s="9"/>
      <c r="H24" s="9"/>
    </row>
    <row r="25" spans="1:8" ht="15" customHeight="1" x14ac:dyDescent="0.25">
      <c r="B25" s="35" t="s">
        <v>15</v>
      </c>
      <c r="C25" s="31">
        <f>(G8)*1.33/18</f>
        <v>4285.5555555555557</v>
      </c>
      <c r="D25" s="28"/>
      <c r="E25" s="27">
        <f>C25*18+G13-C8</f>
        <v>21380</v>
      </c>
      <c r="F25" s="28"/>
      <c r="G25" s="31">
        <f>C25*18+G13</f>
        <v>79880</v>
      </c>
      <c r="H25" s="28"/>
    </row>
    <row r="26" spans="1:8" ht="15" customHeight="1" x14ac:dyDescent="0.25">
      <c r="B26" s="37"/>
      <c r="C26" s="29"/>
      <c r="D26" s="30"/>
      <c r="E26" s="29"/>
      <c r="F26" s="30"/>
      <c r="G26" s="29"/>
      <c r="H26" s="30"/>
    </row>
    <row r="27" spans="1:8" x14ac:dyDescent="0.25">
      <c r="B27" s="9"/>
      <c r="C27" s="9"/>
      <c r="D27" s="9"/>
      <c r="E27" s="10"/>
      <c r="F27" s="10"/>
      <c r="G27" s="9"/>
      <c r="H27" s="9"/>
    </row>
    <row r="28" spans="1:8" ht="15" customHeight="1" x14ac:dyDescent="0.25">
      <c r="B28" s="35" t="s">
        <v>69</v>
      </c>
      <c r="C28" s="31">
        <f>(G8)*1.36/20</f>
        <v>3944</v>
      </c>
      <c r="D28" s="28"/>
      <c r="E28" s="27">
        <f>C28*20+G13-C8</f>
        <v>23120</v>
      </c>
      <c r="F28" s="28"/>
      <c r="G28" s="31">
        <f>C28*20+G13</f>
        <v>81620</v>
      </c>
      <c r="H28" s="28"/>
    </row>
    <row r="29" spans="1:8" ht="15" customHeight="1" x14ac:dyDescent="0.25">
      <c r="B29" s="37"/>
      <c r="C29" s="29"/>
      <c r="D29" s="30"/>
      <c r="E29" s="29"/>
      <c r="F29" s="30"/>
      <c r="G29" s="29"/>
      <c r="H29" s="30"/>
    </row>
    <row r="30" spans="1:8" x14ac:dyDescent="0.25">
      <c r="B30" s="9"/>
      <c r="C30" s="9"/>
      <c r="D30" s="9"/>
      <c r="E30" s="10"/>
      <c r="F30" s="10"/>
      <c r="G30" s="9"/>
      <c r="H30" s="9"/>
    </row>
    <row r="31" spans="1:8" ht="15" customHeight="1" x14ac:dyDescent="0.25">
      <c r="B31" s="35" t="s">
        <v>16</v>
      </c>
      <c r="C31" s="31">
        <f>(G8)*1.44/24</f>
        <v>3480</v>
      </c>
      <c r="D31" s="28"/>
      <c r="E31" s="27">
        <f>C31*24+G13-C8</f>
        <v>27760</v>
      </c>
      <c r="F31" s="28"/>
      <c r="G31" s="31">
        <f>C31*24+G13</f>
        <v>86260</v>
      </c>
      <c r="H31" s="28"/>
    </row>
    <row r="32" spans="1:8" ht="15" customHeight="1" x14ac:dyDescent="0.25">
      <c r="B32" s="36"/>
      <c r="C32" s="32"/>
      <c r="D32" s="30"/>
      <c r="E32" s="38"/>
      <c r="F32" s="30"/>
      <c r="G32" s="32"/>
      <c r="H32" s="30"/>
    </row>
    <row r="33" spans="1:8" x14ac:dyDescent="0.25">
      <c r="B33" s="9"/>
      <c r="C33" s="9"/>
      <c r="D33" s="9"/>
      <c r="E33" s="10"/>
      <c r="F33" s="10"/>
      <c r="G33" s="9"/>
      <c r="H33" s="9"/>
    </row>
    <row r="34" spans="1:8" ht="15" customHeight="1" x14ac:dyDescent="0.25">
      <c r="B34" s="35" t="s">
        <v>17</v>
      </c>
      <c r="C34" s="31">
        <f>(G8)*1.66/36</f>
        <v>2674.4444444444443</v>
      </c>
      <c r="D34" s="28"/>
      <c r="E34" s="27">
        <f>C34*36+G13-C8</f>
        <v>40520</v>
      </c>
      <c r="F34" s="28"/>
      <c r="G34" s="31">
        <f>C34*36+G13</f>
        <v>99020</v>
      </c>
      <c r="H34" s="28"/>
    </row>
    <row r="35" spans="1:8" ht="15" customHeight="1" x14ac:dyDescent="0.25">
      <c r="B35" s="37"/>
      <c r="C35" s="29"/>
      <c r="D35" s="30"/>
      <c r="E35" s="29"/>
      <c r="F35" s="30"/>
      <c r="G35" s="29"/>
      <c r="H35" s="30"/>
    </row>
    <row r="36" spans="1:8" x14ac:dyDescent="0.25"/>
    <row r="37" spans="1:8" x14ac:dyDescent="0.25"/>
    <row r="38" spans="1:8" x14ac:dyDescent="0.25">
      <c r="A38" s="34" t="s">
        <v>18</v>
      </c>
      <c r="B38" s="25"/>
      <c r="C38" s="33" t="str">
        <f>_xlfn.XLOOKUP(G4,'اسعار المنتاجات'!$A:$A,'اسعار المنتاجات'!E:E,"*")</f>
        <v>ضامن واحد فقط ولا يشترط وجود موظفين
ايصال مرافق للعميل والضامن</v>
      </c>
      <c r="D38" s="25"/>
      <c r="E38" s="25"/>
      <c r="F38" s="25"/>
      <c r="G38" s="25"/>
    </row>
    <row r="39" spans="1:8" ht="34.5" customHeight="1" x14ac:dyDescent="0.25">
      <c r="A39" s="25"/>
      <c r="B39" s="25"/>
      <c r="C39" s="25"/>
      <c r="D39" s="25"/>
      <c r="E39" s="25"/>
      <c r="F39" s="25"/>
      <c r="G39" s="25"/>
    </row>
    <row r="40" spans="1:8" x14ac:dyDescent="0.25"/>
    <row r="41" spans="1:8" x14ac:dyDescent="0.25">
      <c r="A41" s="34" t="s">
        <v>19</v>
      </c>
      <c r="B41" s="25"/>
      <c r="C41" s="26" t="str">
        <f>IFERROR(VLOOKUP(G4,CHOOSE({1,2},'اسعار المنتاجات'!$A:$A,'اسعار المنتاجات'!D:D),2,FALSE),0)</f>
        <v xml:space="preserve">ضمان 24 شهر او 20,000 كم </v>
      </c>
      <c r="D41" s="25"/>
      <c r="E41" s="25"/>
      <c r="F41" s="25"/>
      <c r="G41" s="25"/>
    </row>
    <row r="42" spans="1:8" x14ac:dyDescent="0.25">
      <c r="A42" s="25"/>
      <c r="B42" s="25"/>
      <c r="C42" s="25"/>
      <c r="D42" s="25"/>
      <c r="E42" s="25"/>
      <c r="F42" s="25"/>
      <c r="G42" s="25"/>
    </row>
    <row r="43" spans="1:8" ht="21" customHeight="1" x14ac:dyDescent="0.25">
      <c r="C43" s="24"/>
      <c r="D43" s="25"/>
      <c r="E43" s="25"/>
      <c r="F43" s="25"/>
      <c r="G43" s="25"/>
    </row>
    <row r="44" spans="1:8" x14ac:dyDescent="0.25"/>
    <row r="45" spans="1:8" ht="18.75" customHeight="1" x14ac:dyDescent="0.25">
      <c r="A45" s="11" t="s">
        <v>20</v>
      </c>
      <c r="B45" s="11"/>
      <c r="C45" s="11"/>
      <c r="D45" s="11"/>
      <c r="E45" s="11"/>
      <c r="F45" s="11"/>
    </row>
    <row r="46" spans="1:8" ht="18.75" customHeight="1" x14ac:dyDescent="0.25">
      <c r="A46" s="11" t="s">
        <v>21</v>
      </c>
    </row>
    <row r="47" spans="1:8" x14ac:dyDescent="0.25"/>
    <row r="48" spans="1:8" x14ac:dyDescent="0.25"/>
    <row r="49" x14ac:dyDescent="0.25"/>
  </sheetData>
  <sheetProtection algorithmName="SHA-512" hashValue="u4hO/aXqp7/wmRBen4/XXglDh7Gs2Y4VySlnKswlDSX1V2plkv4rXPmA1eJ1yxizsqNcLn3JrLgbcY+yA4s27Q==" saltValue="DR4X458vUYCKSXoTv+CGNg==" spinCount="100000" sheet="1" objects="1" scenarios="1"/>
  <mergeCells count="49">
    <mergeCell ref="A2:H3"/>
    <mergeCell ref="B17:B18"/>
    <mergeCell ref="E11:F12"/>
    <mergeCell ref="A5:B6"/>
    <mergeCell ref="G25:H26"/>
    <mergeCell ref="G11:H12"/>
    <mergeCell ref="C5:G6"/>
    <mergeCell ref="G8:H9"/>
    <mergeCell ref="G17:H18"/>
    <mergeCell ref="G13:H14"/>
    <mergeCell ref="G19:H20"/>
    <mergeCell ref="A14:B15"/>
    <mergeCell ref="A8:B9"/>
    <mergeCell ref="C17:D18"/>
    <mergeCell ref="F8:F9"/>
    <mergeCell ref="C19:D20"/>
    <mergeCell ref="C8:E9"/>
    <mergeCell ref="B16:D16"/>
    <mergeCell ref="C15:G15"/>
    <mergeCell ref="C11:D12"/>
    <mergeCell ref="A38:B39"/>
    <mergeCell ref="B19:B20"/>
    <mergeCell ref="A11:B12"/>
    <mergeCell ref="E17:F18"/>
    <mergeCell ref="C13:F14"/>
    <mergeCell ref="E19:F20"/>
    <mergeCell ref="A41:B42"/>
    <mergeCell ref="B31:B32"/>
    <mergeCell ref="G22:H23"/>
    <mergeCell ref="B34:B35"/>
    <mergeCell ref="B22:B23"/>
    <mergeCell ref="B25:B26"/>
    <mergeCell ref="C28:D29"/>
    <mergeCell ref="C34:D35"/>
    <mergeCell ref="E34:F35"/>
    <mergeCell ref="E31:F32"/>
    <mergeCell ref="G28:H29"/>
    <mergeCell ref="G31:H32"/>
    <mergeCell ref="B28:B29"/>
    <mergeCell ref="C43:G43"/>
    <mergeCell ref="C41:G42"/>
    <mergeCell ref="E25:F26"/>
    <mergeCell ref="C31:D32"/>
    <mergeCell ref="E22:F23"/>
    <mergeCell ref="G34:H35"/>
    <mergeCell ref="C38:G39"/>
    <mergeCell ref="C22:D23"/>
    <mergeCell ref="C25:D26"/>
    <mergeCell ref="E28:F29"/>
  </mergeCells>
  <pageMargins left="0.70866141732283472" right="0.70866141732283472" top="0.74803149606299213" bottom="0.74803149606299213" header="0.31496062992125984" footer="0.31496062992125984"/>
  <pageSetup paperSize="9" scale="80" orientation="portrait" r:id="rId1"/>
  <headerFoot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طباعة_نطاق_اقساط_امان">
                <anchor moveWithCells="1" sizeWithCells="1">
                  <from>
                    <xdr:col>8</xdr:col>
                    <xdr:colOff>247650</xdr:colOff>
                    <xdr:row>1</xdr:row>
                    <xdr:rowOff>57150</xdr:rowOff>
                  </from>
                  <to>
                    <xdr:col>9</xdr:col>
                    <xdr:colOff>323850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GenerateWhatsAppMessage">
                <anchor moveWithCells="1" sizeWithCells="1">
                  <from>
                    <xdr:col>6</xdr:col>
                    <xdr:colOff>657225</xdr:colOff>
                    <xdr:row>0</xdr:row>
                    <xdr:rowOff>76200</xdr:rowOff>
                  </from>
                  <to>
                    <xdr:col>7</xdr:col>
                    <xdr:colOff>552450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ShowSelectedInstallment">
                <anchor moveWithCells="1" sizeWithCells="1">
                  <from>
                    <xdr:col>6</xdr:col>
                    <xdr:colOff>228600</xdr:colOff>
                    <xdr:row>14</xdr:row>
                    <xdr:rowOff>28575</xdr:rowOff>
                  </from>
                  <to>
                    <xdr:col>7</xdr:col>
                    <xdr:colOff>676275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Button 4">
              <controlPr defaultSize="0" print="0" autoFill="0" autoPict="0" macro="[0]!SendSelectedToRepresentative">
                <anchor moveWithCells="1" sizeWithCells="1">
                  <from>
                    <xdr:col>6</xdr:col>
                    <xdr:colOff>304800</xdr:colOff>
                    <xdr:row>5</xdr:row>
                    <xdr:rowOff>19050</xdr:rowOff>
                  </from>
                  <to>
                    <xdr:col>7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B0FE3-6F4B-4074-B4DE-ABEC12D31CD8}">
  <dimension ref="A1:D23"/>
  <sheetViews>
    <sheetView workbookViewId="0">
      <selection activeCell="J10" sqref="J10"/>
    </sheetView>
  </sheetViews>
  <sheetFormatPr defaultRowHeight="15" x14ac:dyDescent="0.25"/>
  <sheetData>
    <row r="1" spans="1:4" ht="15.75" thickBot="1" x14ac:dyDescent="0.3">
      <c r="A1" s="14">
        <v>20000000752037</v>
      </c>
      <c r="B1" s="15">
        <v>8315.16</v>
      </c>
      <c r="C1" s="16" t="s">
        <v>80</v>
      </c>
      <c r="D1" s="16">
        <v>1237535</v>
      </c>
    </row>
    <row r="2" spans="1:4" ht="15.75" thickBot="1" x14ac:dyDescent="0.3">
      <c r="A2" s="17">
        <v>20000000753287</v>
      </c>
      <c r="B2" s="18">
        <v>6565.49</v>
      </c>
      <c r="C2" s="19" t="s">
        <v>80</v>
      </c>
      <c r="D2" s="19">
        <v>1183456</v>
      </c>
    </row>
    <row r="3" spans="1:4" ht="15.75" thickBot="1" x14ac:dyDescent="0.3">
      <c r="A3" s="17">
        <v>20000000753418</v>
      </c>
      <c r="B3" s="18">
        <v>1003.2</v>
      </c>
      <c r="C3" s="19" t="s">
        <v>80</v>
      </c>
      <c r="D3" s="19">
        <v>1477932</v>
      </c>
    </row>
    <row r="4" spans="1:4" ht="15.75" thickBot="1" x14ac:dyDescent="0.3">
      <c r="A4" s="17">
        <v>20000000753472</v>
      </c>
      <c r="B4" s="18">
        <v>2635.68</v>
      </c>
      <c r="C4" s="19" t="s">
        <v>80</v>
      </c>
      <c r="D4" s="19">
        <v>3201583</v>
      </c>
    </row>
    <row r="5" spans="1:4" ht="15.75" thickBot="1" x14ac:dyDescent="0.3">
      <c r="A5" s="17">
        <v>20000000753561</v>
      </c>
      <c r="B5" s="20">
        <v>621.29999999999995</v>
      </c>
      <c r="C5" s="19" t="s">
        <v>80</v>
      </c>
      <c r="D5" s="19">
        <v>1446703</v>
      </c>
    </row>
    <row r="6" spans="1:4" ht="15.75" thickBot="1" x14ac:dyDescent="0.3">
      <c r="A6" s="17">
        <v>20000000753786</v>
      </c>
      <c r="B6" s="20">
        <v>199.5</v>
      </c>
      <c r="C6" s="19" t="s">
        <v>80</v>
      </c>
      <c r="D6" s="19">
        <v>3144867</v>
      </c>
    </row>
    <row r="7" spans="1:4" ht="15.75" thickBot="1" x14ac:dyDescent="0.3">
      <c r="A7" s="17">
        <v>20000000753814</v>
      </c>
      <c r="B7" s="20">
        <v>834.48</v>
      </c>
      <c r="C7" s="19" t="s">
        <v>80</v>
      </c>
      <c r="D7" s="19">
        <v>1341060</v>
      </c>
    </row>
    <row r="8" spans="1:4" ht="15.75" thickBot="1" x14ac:dyDescent="0.3">
      <c r="A8" s="17">
        <v>20000000753833</v>
      </c>
      <c r="B8" s="20">
        <v>267.89999999999998</v>
      </c>
      <c r="C8" s="19" t="s">
        <v>80</v>
      </c>
      <c r="D8" s="19">
        <v>1328638</v>
      </c>
    </row>
    <row r="9" spans="1:4" ht="15.75" thickBot="1" x14ac:dyDescent="0.3">
      <c r="A9" s="17">
        <v>20000000753835</v>
      </c>
      <c r="B9" s="18">
        <v>1652.43</v>
      </c>
      <c r="C9" s="19" t="s">
        <v>80</v>
      </c>
      <c r="D9" s="19">
        <v>2840402</v>
      </c>
    </row>
    <row r="10" spans="1:4" ht="15.75" thickBot="1" x14ac:dyDescent="0.3">
      <c r="A10" s="17">
        <v>20000000754376</v>
      </c>
      <c r="B10" s="18">
        <v>1799.95</v>
      </c>
      <c r="C10" s="19" t="s">
        <v>80</v>
      </c>
      <c r="D10" s="19">
        <v>1446374</v>
      </c>
    </row>
    <row r="11" spans="1:4" ht="15.75" thickBot="1" x14ac:dyDescent="0.3">
      <c r="A11" s="17">
        <v>20000000754393</v>
      </c>
      <c r="B11" s="20">
        <v>270.01</v>
      </c>
      <c r="C11" s="19" t="s">
        <v>80</v>
      </c>
      <c r="D11" s="19">
        <v>956409</v>
      </c>
    </row>
    <row r="12" spans="1:4" ht="15.75" thickBot="1" x14ac:dyDescent="0.3">
      <c r="A12" s="17">
        <v>20000000754385</v>
      </c>
      <c r="B12" s="20">
        <v>549.94000000000005</v>
      </c>
      <c r="C12" s="19" t="s">
        <v>80</v>
      </c>
      <c r="D12" s="19">
        <v>1317271</v>
      </c>
    </row>
    <row r="13" spans="1:4" ht="15.75" thickBot="1" x14ac:dyDescent="0.3">
      <c r="A13" s="17">
        <v>20000000754426</v>
      </c>
      <c r="B13" s="20">
        <v>250.01</v>
      </c>
      <c r="C13" s="19" t="s">
        <v>80</v>
      </c>
      <c r="D13" s="19">
        <v>1262250</v>
      </c>
    </row>
    <row r="14" spans="1:4" ht="15.75" thickBot="1" x14ac:dyDescent="0.3">
      <c r="A14" s="17">
        <v>20000000755059</v>
      </c>
      <c r="B14" s="20">
        <v>389.88</v>
      </c>
      <c r="C14" s="19" t="s">
        <v>80</v>
      </c>
      <c r="D14" s="19">
        <v>1052177</v>
      </c>
    </row>
    <row r="15" spans="1:4" ht="15.75" thickBot="1" x14ac:dyDescent="0.3">
      <c r="A15" s="17">
        <v>20000000755061</v>
      </c>
      <c r="B15" s="20">
        <v>267.89999999999998</v>
      </c>
      <c r="C15" s="19" t="s">
        <v>80</v>
      </c>
      <c r="D15" s="19">
        <v>1103352</v>
      </c>
    </row>
    <row r="16" spans="1:4" ht="15.75" thickBot="1" x14ac:dyDescent="0.3">
      <c r="A16" s="17">
        <v>20000000755057</v>
      </c>
      <c r="B16" s="20">
        <v>601.35</v>
      </c>
      <c r="C16" s="19" t="s">
        <v>80</v>
      </c>
      <c r="D16" s="19">
        <v>3173973</v>
      </c>
    </row>
    <row r="17" spans="1:4" ht="15.75" thickBot="1" x14ac:dyDescent="0.3">
      <c r="A17" s="21"/>
    </row>
    <row r="18" spans="1:4" ht="15.75" thickBot="1" x14ac:dyDescent="0.3">
      <c r="A18" s="14">
        <v>20000000754398</v>
      </c>
      <c r="B18" s="15">
        <v>1941.2</v>
      </c>
      <c r="C18" s="16" t="s">
        <v>81</v>
      </c>
      <c r="D18" s="16">
        <v>1853668</v>
      </c>
    </row>
    <row r="19" spans="1:4" ht="15.75" thickBot="1" x14ac:dyDescent="0.3">
      <c r="A19" s="17">
        <v>20000000754456</v>
      </c>
      <c r="B19" s="20">
        <v>399.97</v>
      </c>
      <c r="C19" s="19" t="s">
        <v>81</v>
      </c>
      <c r="D19" s="19">
        <v>2941381</v>
      </c>
    </row>
    <row r="20" spans="1:4" ht="15.75" thickBot="1" x14ac:dyDescent="0.3">
      <c r="A20" s="17">
        <v>20000000753826</v>
      </c>
      <c r="B20" s="18">
        <v>2130.09</v>
      </c>
      <c r="C20" s="19" t="s">
        <v>81</v>
      </c>
      <c r="D20" s="19">
        <v>3269448</v>
      </c>
    </row>
    <row r="21" spans="1:4" ht="15.75" thickBot="1" x14ac:dyDescent="0.3">
      <c r="A21" s="17">
        <v>20000000753832</v>
      </c>
      <c r="B21" s="18">
        <v>1747.05</v>
      </c>
      <c r="C21" s="19" t="s">
        <v>81</v>
      </c>
      <c r="D21" s="19">
        <v>3256336</v>
      </c>
    </row>
    <row r="22" spans="1:4" ht="15.75" thickBot="1" x14ac:dyDescent="0.3">
      <c r="A22" s="17">
        <v>20000000753841</v>
      </c>
      <c r="B22" s="18">
        <v>2120.4</v>
      </c>
      <c r="C22" s="19" t="s">
        <v>81</v>
      </c>
      <c r="D22" s="19">
        <v>3152986</v>
      </c>
    </row>
    <row r="23" spans="1:4" ht="15.75" thickBot="1" x14ac:dyDescent="0.3">
      <c r="A23" s="22">
        <v>20000000755162</v>
      </c>
      <c r="B23" s="23">
        <v>2747.4</v>
      </c>
      <c r="C23" s="19" t="s">
        <v>81</v>
      </c>
      <c r="D23" s="19">
        <v>1233263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E30"/>
  <sheetViews>
    <sheetView rightToLeft="1" topLeftCell="A22" zoomScale="106" zoomScaleNormal="106" workbookViewId="0">
      <selection activeCell="D31" sqref="D31"/>
    </sheetView>
  </sheetViews>
  <sheetFormatPr defaultColWidth="9.140625" defaultRowHeight="15.75" x14ac:dyDescent="0.25"/>
  <cols>
    <col min="1" max="1" width="6.5703125" style="1" bestFit="1" customWidth="1"/>
    <col min="2" max="2" width="38.85546875" style="1" bestFit="1" customWidth="1"/>
    <col min="3" max="3" width="18.42578125" style="3" customWidth="1"/>
    <col min="4" max="4" width="29.140625" style="1" customWidth="1"/>
    <col min="5" max="5" width="52.7109375" style="1" customWidth="1"/>
    <col min="6" max="6" width="9.140625" style="1" customWidth="1"/>
    <col min="7" max="16384" width="9.140625" style="1"/>
  </cols>
  <sheetData>
    <row r="1" spans="1:5" x14ac:dyDescent="0.25">
      <c r="A1" s="1" t="s">
        <v>22</v>
      </c>
      <c r="B1" s="1" t="s">
        <v>23</v>
      </c>
      <c r="C1" s="3" t="s">
        <v>24</v>
      </c>
      <c r="D1" s="1" t="s">
        <v>25</v>
      </c>
      <c r="E1" s="2" t="s">
        <v>26</v>
      </c>
    </row>
    <row r="2" spans="1:5" ht="31.5" customHeight="1" x14ac:dyDescent="0.25">
      <c r="A2" s="1">
        <v>1</v>
      </c>
      <c r="B2" s="1" t="s">
        <v>71</v>
      </c>
      <c r="C2" s="3">
        <v>58500</v>
      </c>
      <c r="D2" s="1" t="s">
        <v>27</v>
      </c>
      <c r="E2" s="2" t="s">
        <v>28</v>
      </c>
    </row>
    <row r="3" spans="1:5" ht="31.5" customHeight="1" x14ac:dyDescent="0.25">
      <c r="A3" s="1">
        <v>2</v>
      </c>
      <c r="B3" s="1" t="s">
        <v>72</v>
      </c>
      <c r="C3" s="3">
        <v>75000</v>
      </c>
      <c r="D3" s="1" t="s">
        <v>29</v>
      </c>
      <c r="E3" s="2" t="s">
        <v>28</v>
      </c>
    </row>
    <row r="4" spans="1:5" ht="31.5" customHeight="1" x14ac:dyDescent="0.25">
      <c r="A4" s="1">
        <v>3</v>
      </c>
      <c r="B4" s="1" t="s">
        <v>73</v>
      </c>
      <c r="C4" s="3">
        <v>75000</v>
      </c>
      <c r="D4" s="1" t="s">
        <v>27</v>
      </c>
      <c r="E4" s="2" t="s">
        <v>28</v>
      </c>
    </row>
    <row r="5" spans="1:5" ht="31.5" customHeight="1" x14ac:dyDescent="0.25">
      <c r="A5" s="1">
        <v>4</v>
      </c>
      <c r="B5" s="1" t="s">
        <v>43</v>
      </c>
      <c r="C5" s="3">
        <v>70000</v>
      </c>
      <c r="D5" s="1" t="s">
        <v>27</v>
      </c>
      <c r="E5" s="2" t="s">
        <v>28</v>
      </c>
    </row>
    <row r="6" spans="1:5" ht="31.5" customHeight="1" x14ac:dyDescent="0.25">
      <c r="A6" s="1">
        <v>5</v>
      </c>
      <c r="B6" s="1" t="s">
        <v>74</v>
      </c>
      <c r="C6" s="3">
        <v>101000</v>
      </c>
      <c r="D6" s="1" t="s">
        <v>27</v>
      </c>
      <c r="E6" s="2" t="s">
        <v>28</v>
      </c>
    </row>
    <row r="7" spans="1:5" ht="31.5" customHeight="1" x14ac:dyDescent="0.25">
      <c r="A7" s="1">
        <v>6</v>
      </c>
      <c r="B7" s="1" t="s">
        <v>30</v>
      </c>
      <c r="C7" s="3">
        <v>65000</v>
      </c>
      <c r="D7" s="1" t="s">
        <v>27</v>
      </c>
      <c r="E7" s="2" t="s">
        <v>28</v>
      </c>
    </row>
    <row r="8" spans="1:5" ht="31.5" customHeight="1" x14ac:dyDescent="0.25">
      <c r="A8" s="1">
        <v>7</v>
      </c>
      <c r="B8" s="1" t="s">
        <v>31</v>
      </c>
      <c r="C8" s="3">
        <v>51000</v>
      </c>
      <c r="D8" s="1" t="s">
        <v>32</v>
      </c>
      <c r="E8" s="2" t="s">
        <v>28</v>
      </c>
    </row>
    <row r="9" spans="1:5" ht="31.5" customHeight="1" x14ac:dyDescent="0.25">
      <c r="A9" s="1">
        <v>8</v>
      </c>
      <c r="B9" s="1" t="s">
        <v>33</v>
      </c>
      <c r="C9" s="3">
        <v>51000</v>
      </c>
      <c r="D9" s="1" t="s">
        <v>32</v>
      </c>
      <c r="E9" s="2" t="s">
        <v>28</v>
      </c>
    </row>
    <row r="10" spans="1:5" ht="31.5" customHeight="1" x14ac:dyDescent="0.25">
      <c r="A10" s="1">
        <v>9</v>
      </c>
      <c r="B10" s="1" t="s">
        <v>34</v>
      </c>
      <c r="C10" s="3">
        <v>54000</v>
      </c>
      <c r="D10" s="1" t="s">
        <v>32</v>
      </c>
      <c r="E10" s="2" t="s">
        <v>28</v>
      </c>
    </row>
    <row r="11" spans="1:5" ht="31.5" customHeight="1" x14ac:dyDescent="0.25">
      <c r="A11" s="1">
        <v>10</v>
      </c>
      <c r="B11" s="1" t="s">
        <v>35</v>
      </c>
      <c r="C11" s="3">
        <v>48500</v>
      </c>
      <c r="D11" s="1" t="s">
        <v>36</v>
      </c>
      <c r="E11" s="2" t="s">
        <v>28</v>
      </c>
    </row>
    <row r="12" spans="1:5" ht="31.5" customHeight="1" x14ac:dyDescent="0.25">
      <c r="A12" s="1">
        <v>11</v>
      </c>
      <c r="B12" s="1" t="s">
        <v>37</v>
      </c>
      <c r="C12" s="3">
        <v>43000</v>
      </c>
      <c r="D12" s="1" t="s">
        <v>36</v>
      </c>
      <c r="E12" s="2" t="s">
        <v>28</v>
      </c>
    </row>
    <row r="13" spans="1:5" ht="31.5" customHeight="1" x14ac:dyDescent="0.25">
      <c r="A13" s="1">
        <v>12</v>
      </c>
      <c r="B13" s="1" t="s">
        <v>38</v>
      </c>
      <c r="C13" s="3">
        <v>36000</v>
      </c>
      <c r="D13" s="1" t="s">
        <v>36</v>
      </c>
      <c r="E13" s="2" t="s">
        <v>28</v>
      </c>
    </row>
    <row r="14" spans="1:5" ht="31.5" customHeight="1" x14ac:dyDescent="0.25">
      <c r="A14" s="1">
        <v>13</v>
      </c>
      <c r="B14" s="1" t="s">
        <v>75</v>
      </c>
      <c r="C14" s="3">
        <v>233000</v>
      </c>
      <c r="D14" s="1" t="s">
        <v>39</v>
      </c>
      <c r="E14" s="2" t="s">
        <v>46</v>
      </c>
    </row>
    <row r="15" spans="1:5" ht="31.5" customHeight="1" x14ac:dyDescent="0.25">
      <c r="A15" s="1">
        <v>14</v>
      </c>
      <c r="B15" s="1" t="s">
        <v>40</v>
      </c>
      <c r="C15" s="3">
        <v>183000</v>
      </c>
      <c r="D15" s="1" t="s">
        <v>41</v>
      </c>
      <c r="E15" s="2" t="s">
        <v>46</v>
      </c>
    </row>
    <row r="16" spans="1:5" ht="31.5" customHeight="1" x14ac:dyDescent="0.25">
      <c r="A16" s="1">
        <v>15</v>
      </c>
      <c r="B16" s="1" t="s">
        <v>42</v>
      </c>
      <c r="C16" s="3">
        <v>39000</v>
      </c>
      <c r="D16" s="1" t="s">
        <v>36</v>
      </c>
      <c r="E16" s="2" t="s">
        <v>28</v>
      </c>
    </row>
    <row r="17" spans="1:5" ht="31.5" customHeight="1" x14ac:dyDescent="0.25">
      <c r="A17" s="1">
        <v>16</v>
      </c>
      <c r="B17" s="1" t="s">
        <v>44</v>
      </c>
      <c r="C17" s="3">
        <v>47000</v>
      </c>
      <c r="D17" s="1" t="s">
        <v>36</v>
      </c>
      <c r="E17" s="2" t="s">
        <v>28</v>
      </c>
    </row>
    <row r="18" spans="1:5" ht="31.5" customHeight="1" x14ac:dyDescent="0.25">
      <c r="A18" s="1">
        <v>17</v>
      </c>
      <c r="B18" s="1" t="s">
        <v>45</v>
      </c>
      <c r="C18" s="3">
        <v>40000</v>
      </c>
      <c r="D18" s="1" t="s">
        <v>36</v>
      </c>
      <c r="E18" s="2" t="s">
        <v>28</v>
      </c>
    </row>
    <row r="19" spans="1:5" ht="31.5" customHeight="1" x14ac:dyDescent="0.25">
      <c r="A19" s="1">
        <v>18</v>
      </c>
      <c r="B19" s="1" t="s">
        <v>47</v>
      </c>
      <c r="C19" s="3">
        <v>51000</v>
      </c>
      <c r="D19" s="1" t="s">
        <v>36</v>
      </c>
      <c r="E19" s="2" t="s">
        <v>28</v>
      </c>
    </row>
    <row r="20" spans="1:5" ht="31.5" x14ac:dyDescent="0.25">
      <c r="A20" s="1">
        <v>19</v>
      </c>
      <c r="B20" s="1" t="s">
        <v>63</v>
      </c>
      <c r="C20" s="3">
        <v>42000</v>
      </c>
      <c r="D20" s="1" t="s">
        <v>36</v>
      </c>
      <c r="E20" s="2" t="s">
        <v>28</v>
      </c>
    </row>
    <row r="21" spans="1:5" ht="31.5" x14ac:dyDescent="0.25">
      <c r="A21" s="1">
        <v>20</v>
      </c>
      <c r="B21" s="1" t="s">
        <v>76</v>
      </c>
      <c r="C21" s="3">
        <v>46000</v>
      </c>
      <c r="D21" s="1" t="s">
        <v>36</v>
      </c>
      <c r="E21" s="2" t="s">
        <v>28</v>
      </c>
    </row>
    <row r="22" spans="1:5" ht="31.5" x14ac:dyDescent="0.25">
      <c r="A22" s="1">
        <v>21</v>
      </c>
      <c r="B22" s="1" t="s">
        <v>64</v>
      </c>
      <c r="C22" s="3">
        <v>46000</v>
      </c>
      <c r="D22" s="1" t="s">
        <v>36</v>
      </c>
      <c r="E22" s="2" t="s">
        <v>28</v>
      </c>
    </row>
    <row r="23" spans="1:5" x14ac:dyDescent="0.25">
      <c r="A23" s="1">
        <v>22</v>
      </c>
      <c r="B23" s="1" t="s">
        <v>66</v>
      </c>
      <c r="C23" s="3">
        <v>466000</v>
      </c>
      <c r="E23" s="2"/>
    </row>
    <row r="24" spans="1:5" ht="31.5" customHeight="1" x14ac:dyDescent="0.25">
      <c r="A24" s="1">
        <v>23</v>
      </c>
      <c r="B24" s="1" t="s">
        <v>78</v>
      </c>
      <c r="C24" s="3">
        <v>260000</v>
      </c>
      <c r="D24" s="1" t="s">
        <v>39</v>
      </c>
      <c r="E24" s="2" t="s">
        <v>46</v>
      </c>
    </row>
    <row r="25" spans="1:5" ht="47.25" x14ac:dyDescent="0.25">
      <c r="A25" s="1">
        <v>24</v>
      </c>
      <c r="B25" s="1" t="s">
        <v>67</v>
      </c>
      <c r="C25" s="3">
        <v>185000</v>
      </c>
      <c r="D25" s="1" t="s">
        <v>36</v>
      </c>
      <c r="E25" s="2" t="s">
        <v>46</v>
      </c>
    </row>
    <row r="26" spans="1:5" ht="31.5" x14ac:dyDescent="0.25">
      <c r="A26" s="1">
        <v>25</v>
      </c>
      <c r="B26" s="1" t="s">
        <v>68</v>
      </c>
      <c r="C26" s="3">
        <v>72000</v>
      </c>
      <c r="D26" s="1" t="s">
        <v>36</v>
      </c>
      <c r="E26" s="13" t="s">
        <v>28</v>
      </c>
    </row>
    <row r="27" spans="1:5" x14ac:dyDescent="0.25">
      <c r="A27" s="1">
        <v>26</v>
      </c>
      <c r="B27" s="1" t="s">
        <v>77</v>
      </c>
      <c r="C27" s="3">
        <v>245000</v>
      </c>
    </row>
    <row r="28" spans="1:5" ht="47.25" x14ac:dyDescent="0.25">
      <c r="A28" s="1">
        <v>27</v>
      </c>
      <c r="B28" s="1" t="s">
        <v>67</v>
      </c>
      <c r="C28" s="3">
        <v>180000</v>
      </c>
      <c r="D28" s="1" t="s">
        <v>36</v>
      </c>
      <c r="E28" s="2" t="s">
        <v>46</v>
      </c>
    </row>
    <row r="29" spans="1:5" ht="47.25" x14ac:dyDescent="0.25">
      <c r="A29" s="1">
        <v>28</v>
      </c>
      <c r="B29" s="1" t="s">
        <v>79</v>
      </c>
      <c r="C29" s="3">
        <v>175000</v>
      </c>
      <c r="D29" s="1" t="s">
        <v>36</v>
      </c>
      <c r="E29" s="2" t="s">
        <v>46</v>
      </c>
    </row>
    <row r="30" spans="1:5" ht="31.5" customHeight="1" x14ac:dyDescent="0.25">
      <c r="A30" s="1">
        <v>29</v>
      </c>
      <c r="B30" s="1" t="s">
        <v>82</v>
      </c>
      <c r="C30" s="3">
        <v>83000</v>
      </c>
      <c r="D30" s="1" t="s">
        <v>36</v>
      </c>
      <c r="E30" s="2" t="s">
        <v>28</v>
      </c>
    </row>
  </sheetData>
  <printOptions horizontalCentered="1"/>
  <pageMargins left="0.3" right="0.3" top="0.5" bottom="0.5" header="0.3" footer="0.3"/>
  <pageSetup paperSize="9" scale="52" fitToHeight="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E7D3E-FB6E-46DD-AEDE-5BCBBEC516B4}">
  <sheetPr codeName="Sheet1"/>
  <dimension ref="A1:A17"/>
  <sheetViews>
    <sheetView rightToLeft="1" workbookViewId="0">
      <selection activeCell="A8" sqref="A8"/>
    </sheetView>
  </sheetViews>
  <sheetFormatPr defaultRowHeight="15" x14ac:dyDescent="0.25"/>
  <cols>
    <col min="1" max="1" width="26.5703125" bestFit="1" customWidth="1"/>
  </cols>
  <sheetData>
    <row r="1" spans="1:1" x14ac:dyDescent="0.25">
      <c r="A1" s="12" t="s">
        <v>65</v>
      </c>
    </row>
    <row r="2" spans="1:1" x14ac:dyDescent="0.25">
      <c r="A2" s="12" t="s">
        <v>48</v>
      </c>
    </row>
    <row r="3" spans="1:1" x14ac:dyDescent="0.25">
      <c r="A3" s="12" t="s">
        <v>49</v>
      </c>
    </row>
    <row r="4" spans="1:1" x14ac:dyDescent="0.25">
      <c r="A4" s="12" t="s">
        <v>50</v>
      </c>
    </row>
    <row r="5" spans="1:1" x14ac:dyDescent="0.25">
      <c r="A5" s="12" t="s">
        <v>51</v>
      </c>
    </row>
    <row r="6" spans="1:1" x14ac:dyDescent="0.25">
      <c r="A6" s="12" t="s">
        <v>52</v>
      </c>
    </row>
    <row r="7" spans="1:1" x14ac:dyDescent="0.25">
      <c r="A7" s="12" t="s">
        <v>53</v>
      </c>
    </row>
    <row r="8" spans="1:1" ht="30" x14ac:dyDescent="0.25">
      <c r="A8" s="12" t="s">
        <v>54</v>
      </c>
    </row>
    <row r="9" spans="1:1" x14ac:dyDescent="0.25">
      <c r="A9" s="12" t="s">
        <v>10</v>
      </c>
    </row>
    <row r="10" spans="1:1" x14ac:dyDescent="0.25">
      <c r="A10" s="12" t="s">
        <v>55</v>
      </c>
    </row>
    <row r="11" spans="1:1" x14ac:dyDescent="0.25">
      <c r="A11" s="12" t="s">
        <v>56</v>
      </c>
    </row>
    <row r="12" spans="1:1" x14ac:dyDescent="0.25">
      <c r="A12" s="12" t="s">
        <v>57</v>
      </c>
    </row>
    <row r="13" spans="1:1" x14ac:dyDescent="0.25">
      <c r="A13" s="12" t="s">
        <v>58</v>
      </c>
    </row>
    <row r="14" spans="1:1" x14ac:dyDescent="0.25">
      <c r="A14" s="12" t="s">
        <v>59</v>
      </c>
    </row>
    <row r="15" spans="1:1" x14ac:dyDescent="0.25">
      <c r="A15" s="12" t="s">
        <v>60</v>
      </c>
    </row>
    <row r="16" spans="1:1" x14ac:dyDescent="0.25">
      <c r="A16" s="12" t="s">
        <v>61</v>
      </c>
    </row>
    <row r="17" spans="1:1" x14ac:dyDescent="0.25">
      <c r="A17" s="12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امان</vt:lpstr>
      <vt:lpstr>Sheet1</vt:lpstr>
      <vt:lpstr>اسعار المنتاجات</vt:lpstr>
      <vt:lpstr>Texts</vt:lpstr>
      <vt:lpstr>'اسعار المنتاجات'!Print_Area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anwar zarad</dc:creator>
  <cp:lastModifiedBy>anwar zarad</cp:lastModifiedBy>
  <cp:lastPrinted>2026-09-27T14:39:01Z</cp:lastPrinted>
  <dcterms:created xsi:type="dcterms:W3CDTF">2015-06-05T18:17:20Z</dcterms:created>
  <dcterms:modified xsi:type="dcterms:W3CDTF">2026-10-08T10:09:38Z</dcterms:modified>
</cp:coreProperties>
</file>